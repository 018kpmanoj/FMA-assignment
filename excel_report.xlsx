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CL_Data" sheetId="2" state="visible" r:id="rId2"/>
    <sheet xmlns:r="http://schemas.openxmlformats.org/officeDocument/2006/relationships" name="Wipro_Data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DuPont" sheetId="5" state="visible" r:id="rId5"/>
    <sheet xmlns:r="http://schemas.openxmlformats.org/officeDocument/2006/relationships" name="CCC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F4E79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1F4E79"/>
      <sz val="12"/>
    </font>
    <font>
      <name val="Calibri"/>
      <family val="2"/>
      <b val="1"/>
      <sz val="11"/>
    </font>
    <font>
      <name val="Calibri"/>
      <family val="2"/>
      <sz val="10"/>
    </font>
    <font>
      <name val="Calibri"/>
      <family val="2"/>
      <b val="1"/>
      <color rgb="FF1F4E79"/>
      <sz val="16"/>
    </font>
    <font>
      <name val="Calibri"/>
      <family val="2"/>
      <b val="1"/>
      <color rgb="FF1F4E79"/>
      <sz val="14"/>
    </font>
    <font>
      <name val="Calibri"/>
      <family val="2"/>
      <sz val="11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2" fillId="3" borderId="5" pivotButton="0" quotePrefix="0" xfId="0"/>
    <xf numFmtId="0" fontId="2" fillId="3" borderId="6" pivotButton="0" quotePrefix="0" xfId="0"/>
    <xf numFmtId="0" fontId="6" fillId="0" borderId="1" applyAlignment="1" pivotButton="0" quotePrefix="0" xfId="0">
      <alignment wrapText="1"/>
    </xf>
    <xf numFmtId="164" fontId="6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0" fillId="0" borderId="13" pivotButton="0" quotePrefix="0" xfId="0"/>
    <xf numFmtId="4" fontId="0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4" fontId="0" fillId="0" borderId="1" pivotButton="0" quotePrefix="0" xfId="0"/>
    <xf numFmtId="4" fontId="0" fillId="0" borderId="6" pivotButton="0" quotePrefix="0" xfId="0"/>
    <xf numFmtId="4" fontId="0" fillId="0" borderId="8" pivotButton="0" quotePrefix="0" xfId="0"/>
    <xf numFmtId="4" fontId="0" fillId="0" borderId="9" pivotButton="0" quotePrefix="0" xfId="0"/>
    <xf numFmtId="2" fontId="0" fillId="0" borderId="1" pivotButton="0" quotePrefix="0" xfId="0"/>
    <xf numFmtId="0" fontId="1" fillId="2" borderId="5" pivotButton="0" quotePrefix="0" xfId="0"/>
    <xf numFmtId="2" fontId="0" fillId="0" borderId="6" pivotButton="0" quotePrefix="0" xfId="0"/>
    <xf numFmtId="2" fontId="0" fillId="0" borderId="8" pivotButton="0" quotePrefix="0" xfId="0"/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5" borderId="14" pivotButton="0" quotePrefix="0" xfId="0"/>
    <xf numFmtId="0" fontId="0" fillId="5" borderId="14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" fillId="0" borderId="17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G11" sqref="G11"/>
    </sheetView>
  </sheetViews>
  <sheetFormatPr baseColWidth="8" defaultRowHeight="14.5"/>
  <cols>
    <col width="22" customWidth="1" style="36" min="2" max="2"/>
    <col width="40" customWidth="1" style="36" min="3" max="3"/>
  </cols>
  <sheetData>
    <row r="2" ht="21" customHeight="1" s="36">
      <c r="A2" s="35" t="inlineStr">
        <is>
          <t>Financial Statement Analysis</t>
        </is>
      </c>
    </row>
    <row r="3" ht="18.5" customHeight="1" s="36">
      <c r="A3" s="37" t="inlineStr">
        <is>
          <t>HCL Technologies Ltd. vs Wipro Ltd.</t>
        </is>
      </c>
    </row>
    <row r="5">
      <c r="B5" s="44" t="inlineStr">
        <is>
          <t>Team Members:</t>
        </is>
      </c>
      <c r="C5" s="45" t="inlineStr">
        <is>
          <t>K P Manoj (2025MB26539)</t>
        </is>
      </c>
    </row>
    <row r="6">
      <c r="B6" s="45" t="inlineStr"/>
      <c r="C6" s="45" t="inlineStr">
        <is>
          <t>T Venkata Suresh (2025MB26590)</t>
        </is>
      </c>
    </row>
    <row r="7">
      <c r="C7" s="45" t="inlineStr">
        <is>
          <t>Japleen Kaur Khorana (2025MB26602)</t>
        </is>
      </c>
    </row>
    <row r="8">
      <c r="C8" s="45" t="inlineStr">
        <is>
          <t>Varsha PS (2025MB26503)</t>
        </is>
      </c>
    </row>
    <row r="9">
      <c r="C9" s="45" t="inlineStr">
        <is>
          <t>Prashanth G (2025MB26598)</t>
        </is>
      </c>
    </row>
    <row r="10">
      <c r="B10" s="22" t="inlineStr">
        <is>
          <t>Course:</t>
        </is>
      </c>
      <c r="C10" s="23" t="inlineStr">
        <is>
          <t>Financial Management &amp; Accounting</t>
        </is>
      </c>
    </row>
    <row r="11">
      <c r="B11" s="22" t="inlineStr">
        <is>
          <t>Programme:</t>
        </is>
      </c>
      <c r="C11" s="23" t="inlineStr">
        <is>
          <t>MBA in AI for Business</t>
        </is>
      </c>
    </row>
    <row r="12">
      <c r="B12" s="22" t="inlineStr">
        <is>
          <t>Institution:</t>
        </is>
      </c>
      <c r="C12" s="23" t="inlineStr">
        <is>
          <t>BITS Pilani (WILP)</t>
        </is>
      </c>
    </row>
    <row r="13">
      <c r="B13" s="22" t="inlineStr">
        <is>
          <t>Semester:</t>
        </is>
      </c>
      <c r="C13" s="23" t="inlineStr">
        <is>
          <t>1 - Batch Jan 2026</t>
        </is>
      </c>
    </row>
    <row r="14">
      <c r="B14" s="22" t="inlineStr">
        <is>
          <t>Period of Analysis:</t>
        </is>
      </c>
      <c r="C14" s="23" t="inlineStr">
        <is>
          <t>FY2021 to FY2025</t>
        </is>
      </c>
    </row>
    <row r="15">
      <c r="B15" s="22" t="inlineStr">
        <is>
          <t>Data Source:</t>
        </is>
      </c>
      <c r="C15" s="23" t="inlineStr">
        <is>
          <t>Moneycontrol (Consolidated Statements)</t>
        </is>
      </c>
    </row>
  </sheetData>
  <mergeCells count="2">
    <mergeCell ref="A3:F3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topLeftCell="A72" workbookViewId="0">
      <selection activeCell="A21" sqref="A21:XFD21"/>
    </sheetView>
  </sheetViews>
  <sheetFormatPr baseColWidth="8" defaultRowHeight="14.5"/>
  <cols>
    <col width="51.453125" bestFit="1" customWidth="1" style="36" min="1" max="1"/>
    <col width="15" customWidth="1" style="36" min="2" max="2"/>
    <col width="13.1796875" customWidth="1" style="36" min="3" max="3"/>
    <col width="11.6328125" customWidth="1" style="36" min="4" max="4"/>
    <col width="13" customWidth="1" style="36" min="5" max="5"/>
    <col width="14.6328125" customWidth="1" style="36" min="6" max="6"/>
  </cols>
  <sheetData>
    <row r="1" ht="15" customHeight="1" s="36" thickBot="1">
      <c r="A1" s="46" t="inlineStr">
        <is>
          <t>HCL Technologies - Consolidated Financial Data (Rs Cr)</t>
        </is>
      </c>
      <c r="B1" s="47" t="n"/>
      <c r="C1" s="47" t="n"/>
      <c r="D1" s="47" t="n"/>
      <c r="E1" s="47" t="n"/>
      <c r="F1" s="48" t="n"/>
    </row>
    <row r="2" ht="15" customHeight="1" s="36" thickBot="1"/>
    <row r="3">
      <c r="A3" s="9" t="inlineStr">
        <is>
          <t>BALANCE SHEET</t>
        </is>
      </c>
      <c r="B3" s="10" t="n"/>
      <c r="C3" s="10" t="n"/>
      <c r="D3" s="10" t="n"/>
      <c r="E3" s="10" t="n"/>
      <c r="F3" s="11" t="n"/>
    </row>
    <row r="4">
      <c r="A4" s="12" t="inlineStr">
        <is>
          <t>Particulars</t>
        </is>
      </c>
      <c r="B4" s="3" t="inlineStr">
        <is>
          <t>FY2025</t>
        </is>
      </c>
      <c r="C4" s="3" t="inlineStr">
        <is>
          <t>FY2024</t>
        </is>
      </c>
      <c r="D4" s="3" t="inlineStr">
        <is>
          <t>FY2023</t>
        </is>
      </c>
      <c r="E4" s="3" t="inlineStr">
        <is>
          <t>FY2022</t>
        </is>
      </c>
      <c r="F4" s="13" t="inlineStr">
        <is>
          <t>FY2021</t>
        </is>
      </c>
    </row>
    <row r="5">
      <c r="A5" s="14" t="inlineStr">
        <is>
          <t>EQUITIES AND LIABILITIES</t>
        </is>
      </c>
      <c r="B5" s="2" t="n"/>
      <c r="C5" s="2" t="n"/>
      <c r="D5" s="2" t="n"/>
      <c r="E5" s="2" t="n"/>
      <c r="F5" s="15" t="n"/>
    </row>
    <row r="6">
      <c r="A6" s="14" t="inlineStr">
        <is>
          <t>SHAREHOLDER'S FUNDS</t>
        </is>
      </c>
      <c r="B6" s="2" t="n"/>
      <c r="C6" s="2" t="n"/>
      <c r="D6" s="2" t="n"/>
      <c r="E6" s="2" t="n"/>
      <c r="F6" s="15" t="n"/>
    </row>
    <row r="7">
      <c r="A7" s="4" t="inlineStr">
        <is>
          <t>Equity Share Capital</t>
        </is>
      </c>
      <c r="B7" s="24" t="n">
        <v>543</v>
      </c>
      <c r="C7" s="24" t="n">
        <v>543</v>
      </c>
      <c r="D7" s="24" t="n">
        <v>543</v>
      </c>
      <c r="E7" s="24" t="n">
        <v>543</v>
      </c>
      <c r="F7" s="25" t="n">
        <v>543</v>
      </c>
    </row>
    <row r="8">
      <c r="A8" s="4" t="inlineStr">
        <is>
          <t>Total Share Capital</t>
        </is>
      </c>
      <c r="B8" s="24" t="n">
        <v>543</v>
      </c>
      <c r="C8" s="24" t="n">
        <v>543</v>
      </c>
      <c r="D8" s="24" t="n">
        <v>543</v>
      </c>
      <c r="E8" s="24" t="n">
        <v>543</v>
      </c>
      <c r="F8" s="25" t="n">
        <v>543</v>
      </c>
    </row>
    <row r="9">
      <c r="A9" s="4" t="inlineStr">
        <is>
          <t>Reserves and Surplus</t>
        </is>
      </c>
      <c r="B9" s="24" t="n">
        <v>69112</v>
      </c>
      <c r="C9" s="24" t="n">
        <v>67720</v>
      </c>
      <c r="D9" s="24" t="n">
        <v>64862</v>
      </c>
      <c r="E9" s="24" t="n">
        <v>61371</v>
      </c>
      <c r="F9" s="25" t="n">
        <v>59370</v>
      </c>
    </row>
    <row r="10">
      <c r="A10" s="4" t="inlineStr">
        <is>
          <t>Total Reserves and Surplus</t>
        </is>
      </c>
      <c r="B10" s="24" t="n">
        <v>69112</v>
      </c>
      <c r="C10" s="24" t="n">
        <v>67720</v>
      </c>
      <c r="D10" s="24" t="n">
        <v>64862</v>
      </c>
      <c r="E10" s="24" t="n">
        <v>61371</v>
      </c>
      <c r="F10" s="25" t="n">
        <v>59370</v>
      </c>
    </row>
    <row r="11">
      <c r="A11" s="4" t="inlineStr">
        <is>
          <t>Total Shareholders Funds</t>
        </is>
      </c>
      <c r="B11" s="24" t="n">
        <v>69655</v>
      </c>
      <c r="C11" s="24" t="n">
        <v>68263</v>
      </c>
      <c r="D11" s="24" t="n">
        <v>65405</v>
      </c>
      <c r="E11" s="24" t="n">
        <v>61914</v>
      </c>
      <c r="F11" s="25" t="n">
        <v>59913</v>
      </c>
    </row>
    <row r="12">
      <c r="A12" s="4" t="inlineStr">
        <is>
          <t>Minority Interest</t>
        </is>
      </c>
      <c r="B12" s="24" t="n">
        <v>18</v>
      </c>
      <c r="C12" s="24" t="n">
        <v>8</v>
      </c>
      <c r="D12" s="24" t="n">
        <v>-7</v>
      </c>
      <c r="E12" s="24" t="n">
        <v>92</v>
      </c>
      <c r="F12" s="25" t="n">
        <v>169</v>
      </c>
    </row>
    <row r="13">
      <c r="A13" s="14" t="inlineStr">
        <is>
          <t>NON-CURRENT LIABILITIES</t>
        </is>
      </c>
      <c r="B13" s="2" t="n"/>
      <c r="C13" s="2" t="n"/>
      <c r="D13" s="2" t="n"/>
      <c r="E13" s="2" t="n"/>
      <c r="F13" s="15" t="n"/>
    </row>
    <row r="14">
      <c r="A14" s="4" t="inlineStr">
        <is>
          <t>Long Term Borrowings</t>
        </is>
      </c>
      <c r="B14" s="24" t="n">
        <v>70</v>
      </c>
      <c r="C14" s="24" t="n">
        <v>2223</v>
      </c>
      <c r="D14" s="24" t="n">
        <v>2111</v>
      </c>
      <c r="E14" s="24" t="n">
        <v>3923</v>
      </c>
      <c r="F14" s="25" t="n">
        <v>3828</v>
      </c>
    </row>
    <row r="15">
      <c r="A15" s="4" t="inlineStr">
        <is>
          <t>Deferred Tax Liabilities [Net]</t>
        </is>
      </c>
      <c r="B15" s="24" t="n">
        <v>1615</v>
      </c>
      <c r="C15" s="24" t="n">
        <v>771</v>
      </c>
      <c r="D15" s="24" t="n">
        <v>161</v>
      </c>
      <c r="E15" s="24" t="n">
        <v>112</v>
      </c>
      <c r="F15" s="25" t="n">
        <v>147</v>
      </c>
    </row>
    <row r="16">
      <c r="A16" s="4" t="inlineStr">
        <is>
          <t>Other Long Term Liabilities</t>
        </is>
      </c>
      <c r="B16" s="24" t="n">
        <v>4227</v>
      </c>
      <c r="C16" s="24" t="n">
        <v>4174</v>
      </c>
      <c r="D16" s="24" t="n">
        <v>2995</v>
      </c>
      <c r="E16" s="24" t="n">
        <v>2802</v>
      </c>
      <c r="F16" s="25" t="n">
        <v>3421</v>
      </c>
    </row>
    <row r="17">
      <c r="A17" s="4" t="inlineStr">
        <is>
          <t>Long Term Provisions</t>
        </is>
      </c>
      <c r="B17" s="24" t="n">
        <v>1920</v>
      </c>
      <c r="C17" s="24" t="n">
        <v>1612</v>
      </c>
      <c r="D17" s="24" t="n">
        <v>1315</v>
      </c>
      <c r="E17" s="24" t="n">
        <v>1415</v>
      </c>
      <c r="F17" s="25" t="n">
        <v>1333</v>
      </c>
    </row>
    <row r="18">
      <c r="A18" s="4" t="inlineStr">
        <is>
          <t>Total Non-Current Liabilities</t>
        </is>
      </c>
      <c r="B18" s="24" t="n">
        <v>7832</v>
      </c>
      <c r="C18" s="24" t="n">
        <v>8780</v>
      </c>
      <c r="D18" s="24" t="n">
        <v>6582</v>
      </c>
      <c r="E18" s="24" t="n">
        <v>8252</v>
      </c>
      <c r="F18" s="25" t="n">
        <v>8729</v>
      </c>
    </row>
    <row r="19">
      <c r="A19" s="14" t="inlineStr">
        <is>
          <t>CURRENT LIABILITIES</t>
        </is>
      </c>
      <c r="B19" s="2" t="n"/>
      <c r="C19" s="2" t="n"/>
      <c r="D19" s="2" t="n"/>
      <c r="E19" s="2" t="n"/>
      <c r="F19" s="15" t="n"/>
    </row>
    <row r="20">
      <c r="A20" s="4" t="inlineStr">
        <is>
          <t>Short Term Borrowings</t>
        </is>
      </c>
      <c r="B20" s="24" t="n">
        <v>2221</v>
      </c>
      <c r="C20" s="24" t="n">
        <v>104</v>
      </c>
      <c r="D20" s="24" t="n">
        <v>140</v>
      </c>
      <c r="E20" s="24" t="n">
        <v>62</v>
      </c>
      <c r="F20" s="25" t="n">
        <v>0</v>
      </c>
    </row>
    <row r="21">
      <c r="A21" s="4" t="inlineStr">
        <is>
          <t>Trade Payables</t>
        </is>
      </c>
      <c r="B21" s="24" t="n">
        <v>13234</v>
      </c>
      <c r="C21" s="24" t="n">
        <v>5853</v>
      </c>
      <c r="D21" s="24" t="n">
        <v>6428</v>
      </c>
      <c r="E21" s="24" t="n">
        <v>6278</v>
      </c>
      <c r="F21" s="25" t="n">
        <v>1726</v>
      </c>
      <c r="G21" s="21" t="n">
        <v>1166</v>
      </c>
    </row>
    <row r="22">
      <c r="A22" s="4" t="inlineStr">
        <is>
          <t>Other Current Liabilities</t>
        </is>
      </c>
      <c r="B22" s="24" t="n">
        <v>11097</v>
      </c>
      <c r="C22" s="24" t="n">
        <v>15432</v>
      </c>
      <c r="D22" s="24" t="n">
        <v>13743</v>
      </c>
      <c r="E22" s="24" t="n">
        <v>11480</v>
      </c>
      <c r="F22" s="25" t="n">
        <v>14694</v>
      </c>
    </row>
    <row r="23">
      <c r="A23" s="4" t="inlineStr">
        <is>
          <t>Short Term Provisions</t>
        </is>
      </c>
      <c r="B23" s="24" t="n">
        <v>1487</v>
      </c>
      <c r="C23" s="24" t="n">
        <v>1337</v>
      </c>
      <c r="D23" s="24" t="n">
        <v>1120</v>
      </c>
      <c r="E23" s="24" t="n">
        <v>955</v>
      </c>
      <c r="F23" s="25" t="n">
        <v>963</v>
      </c>
    </row>
    <row r="24">
      <c r="A24" s="4" t="inlineStr">
        <is>
          <t>Total Current Liabilities</t>
        </is>
      </c>
      <c r="B24" s="24" t="n">
        <v>28039</v>
      </c>
      <c r="C24" s="24" t="n">
        <v>22726</v>
      </c>
      <c r="D24" s="24" t="n">
        <v>21431</v>
      </c>
      <c r="E24" s="24" t="n">
        <v>18775</v>
      </c>
      <c r="F24" s="25" t="n">
        <v>17383</v>
      </c>
    </row>
    <row r="25">
      <c r="A25" s="4" t="inlineStr">
        <is>
          <t>Total Capital And Liabilities</t>
        </is>
      </c>
      <c r="B25" s="24" t="n">
        <v>105544</v>
      </c>
      <c r="C25" s="24" t="n">
        <v>99777</v>
      </c>
      <c r="D25" s="24" t="n">
        <v>93411</v>
      </c>
      <c r="E25" s="24" t="n">
        <v>89033</v>
      </c>
      <c r="F25" s="25" t="n">
        <v>86194</v>
      </c>
    </row>
    <row r="26">
      <c r="A26" s="14" t="inlineStr">
        <is>
          <t>ASSETS</t>
        </is>
      </c>
      <c r="B26" s="2" t="n"/>
      <c r="C26" s="2" t="n"/>
      <c r="D26" s="2" t="n"/>
      <c r="E26" s="2" t="n"/>
      <c r="F26" s="15" t="n"/>
    </row>
    <row r="27">
      <c r="A27" s="14" t="inlineStr">
        <is>
          <t>NON-CURRENT ASSETS</t>
        </is>
      </c>
      <c r="B27" s="2" t="n"/>
      <c r="C27" s="2" t="n"/>
      <c r="D27" s="2" t="n"/>
      <c r="E27" s="2" t="n"/>
      <c r="F27" s="15" t="n"/>
    </row>
    <row r="28">
      <c r="A28" s="4" t="inlineStr">
        <is>
          <t>Tangible Assets</t>
        </is>
      </c>
      <c r="B28" s="24" t="n">
        <v>7517</v>
      </c>
      <c r="C28" s="24" t="n">
        <v>7801</v>
      </c>
      <c r="D28" s="24" t="n">
        <v>7708</v>
      </c>
      <c r="E28" s="24" t="n">
        <v>7917</v>
      </c>
      <c r="F28" s="25" t="n">
        <v>8052</v>
      </c>
    </row>
    <row r="29">
      <c r="A29" s="4" t="inlineStr">
        <is>
          <t>Intangible Assets</t>
        </is>
      </c>
      <c r="B29" s="24" t="n">
        <v>6899</v>
      </c>
      <c r="C29" s="24" t="n">
        <v>7130</v>
      </c>
      <c r="D29" s="24" t="n">
        <v>8344</v>
      </c>
      <c r="E29" s="24" t="n">
        <v>9743</v>
      </c>
      <c r="F29" s="25" t="n">
        <v>11901</v>
      </c>
    </row>
    <row r="30">
      <c r="A30" s="4" t="inlineStr">
        <is>
          <t>Capital Work-In-Progress</t>
        </is>
      </c>
      <c r="B30" s="24" t="n">
        <v>59</v>
      </c>
      <c r="C30" s="24" t="n">
        <v>108</v>
      </c>
      <c r="D30" s="24" t="n">
        <v>40</v>
      </c>
      <c r="E30" s="24" t="n">
        <v>129</v>
      </c>
      <c r="F30" s="25" t="n">
        <v>312</v>
      </c>
    </row>
    <row r="31">
      <c r="A31" s="4" t="inlineStr">
        <is>
          <t>Fixed Assets</t>
        </is>
      </c>
      <c r="B31" s="24" t="n">
        <v>14475</v>
      </c>
      <c r="C31" s="24" t="n">
        <v>15039</v>
      </c>
      <c r="D31" s="24" t="n">
        <v>16092</v>
      </c>
      <c r="E31" s="24" t="n">
        <v>17789</v>
      </c>
      <c r="F31" s="25" t="n">
        <v>20265</v>
      </c>
    </row>
    <row r="32">
      <c r="A32" s="4" t="inlineStr">
        <is>
          <t>Non-Current Investments</t>
        </is>
      </c>
      <c r="B32" s="24" t="n">
        <v>91</v>
      </c>
      <c r="C32" s="24" t="n">
        <v>94</v>
      </c>
      <c r="D32" s="24" t="n">
        <v>110</v>
      </c>
      <c r="E32" s="24" t="n">
        <v>112</v>
      </c>
      <c r="F32" s="25" t="n">
        <v>89</v>
      </c>
    </row>
    <row r="33">
      <c r="A33" s="4" t="inlineStr">
        <is>
          <t>Deferred Tax Assets [Net]</t>
        </is>
      </c>
      <c r="B33" s="24" t="n">
        <v>1064</v>
      </c>
      <c r="C33" s="24" t="n">
        <v>1031</v>
      </c>
      <c r="D33" s="24" t="n">
        <v>1252</v>
      </c>
      <c r="E33" s="24" t="n">
        <v>1176</v>
      </c>
      <c r="F33" s="25" t="n">
        <v>1181</v>
      </c>
    </row>
    <row r="34">
      <c r="A34" s="4" t="inlineStr">
        <is>
          <t>Long Term Loans And Advances</t>
        </is>
      </c>
      <c r="B34" s="24" t="n">
        <v>586</v>
      </c>
      <c r="C34" s="24" t="n">
        <v>286</v>
      </c>
      <c r="D34" s="24" t="n">
        <v>0</v>
      </c>
      <c r="E34" s="24" t="n">
        <v>200</v>
      </c>
      <c r="F34" s="25" t="n">
        <v>0</v>
      </c>
    </row>
    <row r="35">
      <c r="A35" s="4" t="inlineStr">
        <is>
          <t>Other Non-Current Assets</t>
        </is>
      </c>
      <c r="B35" s="24" t="n">
        <v>5463</v>
      </c>
      <c r="C35" s="24" t="n">
        <v>3864</v>
      </c>
      <c r="D35" s="24" t="n">
        <v>3813</v>
      </c>
      <c r="E35" s="24" t="n">
        <v>4298</v>
      </c>
      <c r="F35" s="25" t="n">
        <v>4416</v>
      </c>
    </row>
    <row r="36">
      <c r="A36" s="4" t="inlineStr">
        <is>
          <t>Total Non-Current Assets</t>
        </is>
      </c>
      <c r="B36" s="24" t="n">
        <v>43435</v>
      </c>
      <c r="C36" s="24" t="n">
        <v>40446</v>
      </c>
      <c r="D36" s="24" t="n">
        <v>39834</v>
      </c>
      <c r="E36" s="24" t="n">
        <v>40992</v>
      </c>
      <c r="F36" s="25" t="n">
        <v>43143</v>
      </c>
    </row>
    <row r="37">
      <c r="A37" s="14" t="inlineStr">
        <is>
          <t>CURRENT ASSETS</t>
        </is>
      </c>
      <c r="B37" s="2" t="n"/>
      <c r="C37" s="2" t="n"/>
      <c r="D37" s="2" t="n"/>
      <c r="E37" s="2" t="n"/>
      <c r="F37" s="15" t="n"/>
    </row>
    <row r="38">
      <c r="A38" s="4" t="inlineStr">
        <is>
          <t>Current Investments</t>
        </is>
      </c>
      <c r="B38" s="24" t="n">
        <v>7473</v>
      </c>
      <c r="C38" s="24" t="n">
        <v>7043</v>
      </c>
      <c r="D38" s="24" t="n">
        <v>5385</v>
      </c>
      <c r="E38" s="24" t="n">
        <v>6239</v>
      </c>
      <c r="F38" s="25" t="n">
        <v>6773</v>
      </c>
    </row>
    <row r="39">
      <c r="A39" s="4" t="inlineStr">
        <is>
          <t>Inventories</t>
        </is>
      </c>
      <c r="B39" s="24" t="n">
        <v>133</v>
      </c>
      <c r="C39" s="24" t="n">
        <v>185</v>
      </c>
      <c r="D39" s="24" t="n">
        <v>228</v>
      </c>
      <c r="E39" s="24" t="n">
        <v>161</v>
      </c>
      <c r="F39" s="25" t="n">
        <v>94</v>
      </c>
      <c r="G39" t="n">
        <v>91</v>
      </c>
    </row>
    <row r="40">
      <c r="A40" s="4" t="inlineStr">
        <is>
          <t>Trade Receivables</t>
        </is>
      </c>
      <c r="B40" s="24" t="n">
        <v>25842</v>
      </c>
      <c r="C40" s="24" t="n">
        <v>25521</v>
      </c>
      <c r="D40" s="24" t="n">
        <v>25506</v>
      </c>
      <c r="E40" s="24" t="n">
        <v>20671</v>
      </c>
      <c r="F40" s="25" t="n">
        <v>13663</v>
      </c>
      <c r="G40" s="21" t="n">
        <v>14131</v>
      </c>
    </row>
    <row r="41">
      <c r="A41" s="4" t="inlineStr">
        <is>
          <t>Cash And Cash Equivalents</t>
        </is>
      </c>
      <c r="B41" s="24" t="n">
        <v>21289</v>
      </c>
      <c r="C41" s="24" t="n">
        <v>20150</v>
      </c>
      <c r="D41" s="24" t="n">
        <v>14724</v>
      </c>
      <c r="E41" s="24" t="n">
        <v>12636</v>
      </c>
      <c r="F41" s="25" t="n">
        <v>8888</v>
      </c>
    </row>
    <row r="42">
      <c r="A42" s="4" t="inlineStr">
        <is>
          <t>Short Term Loans And Advances</t>
        </is>
      </c>
      <c r="B42" s="24" t="n">
        <v>976</v>
      </c>
      <c r="C42" s="24" t="n">
        <v>795</v>
      </c>
      <c r="D42" s="24" t="n">
        <v>2603</v>
      </c>
      <c r="E42" s="24" t="n">
        <v>3008</v>
      </c>
      <c r="F42" s="25" t="n">
        <v>4841</v>
      </c>
    </row>
    <row r="43">
      <c r="A43" s="4" t="inlineStr">
        <is>
          <t>OtherCurrentAssets</t>
        </is>
      </c>
      <c r="B43" s="24" t="n">
        <v>6396</v>
      </c>
      <c r="C43" s="24" t="n">
        <v>5637</v>
      </c>
      <c r="D43" s="24" t="n">
        <v>5131</v>
      </c>
      <c r="E43" s="24" t="n">
        <v>5326</v>
      </c>
      <c r="F43" s="25" t="n">
        <v>8792</v>
      </c>
    </row>
    <row r="44">
      <c r="A44" s="4" t="inlineStr">
        <is>
          <t>Total Current Assets</t>
        </is>
      </c>
      <c r="B44" s="24" t="n">
        <v>62109</v>
      </c>
      <c r="C44" s="24" t="n">
        <v>59331</v>
      </c>
      <c r="D44" s="24" t="n">
        <v>53577</v>
      </c>
      <c r="E44" s="24" t="n">
        <v>48041</v>
      </c>
      <c r="F44" s="25" t="n">
        <v>43051</v>
      </c>
    </row>
    <row r="45">
      <c r="A45" s="4" t="inlineStr">
        <is>
          <t>Total Assets</t>
        </is>
      </c>
      <c r="B45" s="24" t="n">
        <v>105544</v>
      </c>
      <c r="C45" s="24" t="n">
        <v>99777</v>
      </c>
      <c r="D45" s="24" t="n">
        <v>93411</v>
      </c>
      <c r="E45" s="24" t="n">
        <v>89033</v>
      </c>
      <c r="F45" s="25" t="n">
        <v>86194</v>
      </c>
    </row>
    <row r="46">
      <c r="A46" s="14" t="inlineStr">
        <is>
          <t>OTHER ADDITIONAL INFORMATION</t>
        </is>
      </c>
      <c r="B46" s="2" t="n"/>
      <c r="C46" s="2" t="n"/>
      <c r="D46" s="2" t="n"/>
      <c r="E46" s="2" t="n"/>
      <c r="F46" s="15" t="n"/>
    </row>
    <row r="47">
      <c r="A47" s="14" t="inlineStr">
        <is>
          <t>CONTINGENT LIABILITIES, COMMITMENTS</t>
        </is>
      </c>
      <c r="B47" s="2" t="n"/>
      <c r="C47" s="2" t="n"/>
      <c r="D47" s="2" t="n"/>
      <c r="E47" s="2" t="n"/>
      <c r="F47" s="15" t="n"/>
    </row>
    <row r="48">
      <c r="A48" s="4" t="inlineStr">
        <is>
          <t>Contingent Liabilities</t>
        </is>
      </c>
      <c r="B48" s="24" t="n">
        <v>611</v>
      </c>
      <c r="C48" s="24" t="n">
        <v>135</v>
      </c>
      <c r="D48" s="24" t="n">
        <v>233</v>
      </c>
      <c r="E48" s="24" t="n">
        <v>892</v>
      </c>
      <c r="F48" s="25" t="n">
        <v>490</v>
      </c>
    </row>
    <row r="49">
      <c r="A49" s="14" t="inlineStr">
        <is>
          <t>BONUS DETAILS</t>
        </is>
      </c>
      <c r="B49" s="2" t="n"/>
      <c r="C49" s="2" t="n"/>
      <c r="D49" s="2" t="n"/>
      <c r="E49" s="2" t="n"/>
      <c r="F49" s="15" t="n"/>
    </row>
    <row r="50">
      <c r="A50" s="4" t="inlineStr">
        <is>
          <t>Bonus Equity Share Capital</t>
        </is>
      </c>
      <c r="B50" s="24" t="n">
        <v>482.74</v>
      </c>
      <c r="C50" s="24" t="n">
        <v>482.74</v>
      </c>
      <c r="D50" s="24" t="n">
        <v>482.74</v>
      </c>
      <c r="E50" s="24" t="n">
        <v>482.74</v>
      </c>
      <c r="F50" s="25" t="n">
        <v>482.74</v>
      </c>
    </row>
    <row r="51">
      <c r="A51" s="14" t="inlineStr">
        <is>
          <t>NON-CURRENT INVESTMENTS</t>
        </is>
      </c>
      <c r="B51" s="2" t="n"/>
      <c r="C51" s="2" t="n"/>
      <c r="D51" s="2" t="n"/>
      <c r="E51" s="2" t="n"/>
      <c r="F51" s="15" t="n"/>
    </row>
    <row r="52">
      <c r="A52" s="4" t="inlineStr">
        <is>
          <t>Non-Current Investments Quoted Market Value</t>
        </is>
      </c>
      <c r="B52" s="24" t="n">
        <v>0</v>
      </c>
      <c r="C52" s="24" t="n">
        <v>0</v>
      </c>
      <c r="D52" s="24" t="n">
        <v>0</v>
      </c>
      <c r="E52" s="24" t="n">
        <v>0</v>
      </c>
      <c r="F52" s="25" t="n">
        <v>0</v>
      </c>
    </row>
    <row r="53">
      <c r="A53" s="4" t="inlineStr">
        <is>
          <t>Non-Current Investments Unquoted Book Value</t>
        </is>
      </c>
      <c r="B53" s="24" t="n">
        <v>91</v>
      </c>
      <c r="C53" s="24" t="n">
        <v>94</v>
      </c>
      <c r="D53" s="24" t="n">
        <v>110</v>
      </c>
      <c r="E53" s="24" t="n">
        <v>103</v>
      </c>
      <c r="F53" s="25" t="n">
        <v>89</v>
      </c>
    </row>
    <row r="54">
      <c r="A54" s="14" t="inlineStr">
        <is>
          <t>CURRENT INVESTMENTS</t>
        </is>
      </c>
      <c r="B54" s="2" t="n"/>
      <c r="C54" s="2" t="n"/>
      <c r="D54" s="2" t="n"/>
      <c r="E54" s="2" t="n"/>
      <c r="F54" s="15" t="n"/>
    </row>
    <row r="55">
      <c r="A55" s="4" t="inlineStr">
        <is>
          <t>Current Investments Quoted Market Value</t>
        </is>
      </c>
      <c r="B55" s="24" t="n">
        <v>4309</v>
      </c>
      <c r="C55" s="24" t="n">
        <v>3491</v>
      </c>
      <c r="D55" s="24" t="n">
        <v>3601</v>
      </c>
      <c r="E55" s="24" t="n">
        <v>3783</v>
      </c>
      <c r="F55" s="25" t="n">
        <v>5749</v>
      </c>
    </row>
    <row r="56" ht="15" customHeight="1" s="36" thickBot="1">
      <c r="A56" s="6" t="inlineStr">
        <is>
          <t>Current Investments Unquoted Book Value</t>
        </is>
      </c>
      <c r="B56" s="26" t="n">
        <v>3255</v>
      </c>
      <c r="C56" s="26" t="n">
        <v>3646</v>
      </c>
      <c r="D56" s="26" t="n">
        <v>1784</v>
      </c>
      <c r="E56" s="26" t="n">
        <v>2456</v>
      </c>
      <c r="F56" s="27" t="n">
        <v>1024</v>
      </c>
    </row>
    <row r="57" ht="15" customHeight="1" s="36" thickBot="1"/>
    <row r="58">
      <c r="A58" s="9" t="inlineStr">
        <is>
          <t>P&amp;L</t>
        </is>
      </c>
      <c r="B58" s="10" t="n"/>
      <c r="C58" s="10" t="n"/>
      <c r="D58" s="10" t="n"/>
      <c r="E58" s="10" t="n"/>
      <c r="F58" s="11" t="n"/>
    </row>
    <row r="59">
      <c r="A59" s="12" t="inlineStr">
        <is>
          <t>Particulars</t>
        </is>
      </c>
      <c r="B59" s="3" t="inlineStr">
        <is>
          <t>FY2025</t>
        </is>
      </c>
      <c r="C59" s="3" t="inlineStr">
        <is>
          <t>FY2024</t>
        </is>
      </c>
      <c r="D59" s="3" t="inlineStr">
        <is>
          <t>FY2023</t>
        </is>
      </c>
      <c r="E59" s="3" t="inlineStr">
        <is>
          <t>FY2022</t>
        </is>
      </c>
      <c r="F59" s="13" t="inlineStr">
        <is>
          <t>FY2021</t>
        </is>
      </c>
    </row>
    <row r="60">
      <c r="A60" s="14" t="inlineStr">
        <is>
          <t>INCOME</t>
        </is>
      </c>
      <c r="B60" s="2" t="n"/>
      <c r="C60" s="2" t="n"/>
      <c r="D60" s="2" t="n"/>
      <c r="E60" s="2" t="n"/>
      <c r="F60" s="15" t="n"/>
    </row>
    <row r="61">
      <c r="A61" s="4" t="inlineStr">
        <is>
          <t>Revenue From Operations [Gross]</t>
        </is>
      </c>
      <c r="B61" s="24" t="n">
        <v>117055</v>
      </c>
      <c r="C61" s="24" t="n">
        <v>109913</v>
      </c>
      <c r="D61" s="24" t="n">
        <v>101456</v>
      </c>
      <c r="E61" s="24" t="n">
        <v>85651</v>
      </c>
      <c r="F61" s="25" t="n">
        <v>75379</v>
      </c>
    </row>
    <row r="62">
      <c r="A62" s="4" t="inlineStr">
        <is>
          <t>Less: Excise/Sevice Tax/Other Levies</t>
        </is>
      </c>
      <c r="B62" s="24" t="n">
        <v>0</v>
      </c>
      <c r="C62" s="24" t="n">
        <v>0</v>
      </c>
      <c r="D62" s="24" t="n">
        <v>0</v>
      </c>
      <c r="E62" s="24" t="n">
        <v>0</v>
      </c>
      <c r="F62" s="25" t="n">
        <v>0</v>
      </c>
    </row>
    <row r="63">
      <c r="A63" s="4" t="inlineStr">
        <is>
          <t>Revenue From Operations [Net]</t>
        </is>
      </c>
      <c r="B63" s="24" t="n">
        <v>117055</v>
      </c>
      <c r="C63" s="24" t="n">
        <v>109913</v>
      </c>
      <c r="D63" s="24" t="n">
        <v>101456</v>
      </c>
      <c r="E63" s="24" t="n">
        <v>85651</v>
      </c>
      <c r="F63" s="25" t="n">
        <v>75379</v>
      </c>
    </row>
    <row r="64">
      <c r="A64" s="4" t="inlineStr">
        <is>
          <t>Total Operating Revenues</t>
        </is>
      </c>
      <c r="B64" s="24" t="n">
        <v>117055</v>
      </c>
      <c r="C64" s="24" t="n">
        <v>109913</v>
      </c>
      <c r="D64" s="24" t="n">
        <v>101456</v>
      </c>
      <c r="E64" s="24" t="n">
        <v>85651</v>
      </c>
      <c r="F64" s="25" t="n">
        <v>75379</v>
      </c>
    </row>
    <row r="65">
      <c r="A65" s="4" t="inlineStr">
        <is>
          <t>Other Income</t>
        </is>
      </c>
      <c r="B65" s="24" t="n">
        <v>2485</v>
      </c>
      <c r="C65" s="24" t="n">
        <v>1495</v>
      </c>
      <c r="D65" s="24" t="n">
        <v>1358</v>
      </c>
      <c r="E65" s="24" t="n">
        <v>1067</v>
      </c>
      <c r="F65" s="25" t="n">
        <v>927</v>
      </c>
    </row>
    <row r="66">
      <c r="A66" s="4" t="inlineStr">
        <is>
          <t>Total Revenue</t>
        </is>
      </c>
      <c r="B66" s="24" t="n">
        <v>119540</v>
      </c>
      <c r="C66" s="24" t="n">
        <v>111408</v>
      </c>
      <c r="D66" s="24" t="n">
        <v>102814</v>
      </c>
      <c r="E66" s="24" t="n">
        <v>86718</v>
      </c>
      <c r="F66" s="25" t="n">
        <v>76306</v>
      </c>
    </row>
    <row r="67">
      <c r="A67" s="14" t="inlineStr">
        <is>
          <t>EXPENSES</t>
        </is>
      </c>
      <c r="B67" s="2" t="n"/>
      <c r="C67" s="2" t="n"/>
      <c r="D67" s="2" t="n"/>
      <c r="E67" s="2" t="n"/>
      <c r="F67" s="15" t="n"/>
    </row>
    <row r="68">
      <c r="A68" s="4" t="inlineStr">
        <is>
          <t>Cost Of Materials Consumed</t>
        </is>
      </c>
      <c r="B68" s="24" t="n">
        <v>0</v>
      </c>
      <c r="C68" s="24" t="n">
        <v>0</v>
      </c>
      <c r="D68" s="24" t="n">
        <v>0</v>
      </c>
      <c r="E68" s="24" t="n">
        <v>0</v>
      </c>
      <c r="F68" s="25" t="n">
        <v>0</v>
      </c>
    </row>
    <row r="69">
      <c r="A69" s="4" t="inlineStr">
        <is>
          <t>Purchase Of Stock-In Trade</t>
        </is>
      </c>
      <c r="B69" s="24" t="n">
        <v>1976</v>
      </c>
      <c r="C69" s="24" t="n">
        <v>1754</v>
      </c>
      <c r="D69" s="24" t="n">
        <v>2072</v>
      </c>
      <c r="E69" s="24" t="n">
        <v>1473</v>
      </c>
      <c r="F69" s="25" t="n">
        <v>1698</v>
      </c>
    </row>
    <row r="70">
      <c r="A70" s="4" t="inlineStr">
        <is>
          <t>Operating And Direct Expenses</t>
        </is>
      </c>
      <c r="B70" s="24" t="n">
        <v>15162</v>
      </c>
      <c r="C70" s="24" t="n">
        <v>14578</v>
      </c>
      <c r="D70" s="24" t="n">
        <v>14950</v>
      </c>
      <c r="E70" s="24" t="n">
        <v>12515</v>
      </c>
      <c r="F70" s="25" t="n">
        <v>10158</v>
      </c>
    </row>
    <row r="71">
      <c r="A71" s="4" t="inlineStr">
        <is>
          <t>Changes In Inventories Of FGWIP And Stock In Trade</t>
        </is>
      </c>
      <c r="B71" s="24" t="n">
        <v>52</v>
      </c>
      <c r="C71" s="24" t="n">
        <v>43</v>
      </c>
      <c r="D71" s="24" t="n">
        <v>-67</v>
      </c>
      <c r="E71" s="24" t="n">
        <v>-67</v>
      </c>
      <c r="F71" s="25" t="n">
        <v>-3</v>
      </c>
    </row>
    <row r="72">
      <c r="A72" s="4" t="inlineStr">
        <is>
          <t>Employee Benefit Expenses</t>
        </is>
      </c>
      <c r="B72" s="24" t="n">
        <v>66755</v>
      </c>
      <c r="C72" s="24" t="n">
        <v>62480</v>
      </c>
      <c r="D72" s="24" t="n">
        <v>55280</v>
      </c>
      <c r="E72" s="24" t="n">
        <v>46130</v>
      </c>
      <c r="F72" s="25" t="n">
        <v>38853</v>
      </c>
    </row>
    <row r="73">
      <c r="A73" s="4" t="inlineStr">
        <is>
          <t>Finance Costs</t>
        </is>
      </c>
      <c r="B73" s="24" t="n">
        <v>644</v>
      </c>
      <c r="C73" s="24" t="n">
        <v>553</v>
      </c>
      <c r="D73" s="24" t="n">
        <v>353</v>
      </c>
      <c r="E73" s="24" t="n">
        <v>319</v>
      </c>
      <c r="F73" s="25" t="n">
        <v>511</v>
      </c>
    </row>
    <row r="74">
      <c r="A74" s="4" t="inlineStr">
        <is>
          <t>Depreciation And Amortisation Expenses</t>
        </is>
      </c>
      <c r="B74" s="24" t="n">
        <v>4084</v>
      </c>
      <c r="C74" s="24" t="n">
        <v>4173</v>
      </c>
      <c r="D74" s="24" t="n">
        <v>4145</v>
      </c>
      <c r="E74" s="24" t="n">
        <v>4326</v>
      </c>
      <c r="F74" s="25" t="n">
        <v>4611</v>
      </c>
    </row>
    <row r="75">
      <c r="A75" s="4" t="inlineStr">
        <is>
          <t>Other Expenses</t>
        </is>
      </c>
      <c r="B75" s="24" t="n">
        <v>7606</v>
      </c>
      <c r="C75" s="24" t="n">
        <v>6860</v>
      </c>
      <c r="D75" s="24" t="n">
        <v>6593</v>
      </c>
      <c r="E75" s="24" t="n">
        <v>5070</v>
      </c>
      <c r="F75" s="25" t="n">
        <v>4625</v>
      </c>
    </row>
    <row r="76">
      <c r="A76" s="4" t="inlineStr">
        <is>
          <t>Total Expenses</t>
        </is>
      </c>
      <c r="B76" s="24" t="n">
        <v>96279</v>
      </c>
      <c r="C76" s="24" t="n">
        <v>90441</v>
      </c>
      <c r="D76" s="24" t="n">
        <v>83326</v>
      </c>
      <c r="E76" s="24" t="n">
        <v>69766</v>
      </c>
      <c r="F76" s="25" t="n">
        <v>60453</v>
      </c>
    </row>
    <row r="77">
      <c r="A77" s="4" t="inlineStr">
        <is>
          <t>Profit/Loss Before Exceptional, ExtraOrdinary Items And Tax</t>
        </is>
      </c>
      <c r="B77" s="24" t="n">
        <v>23261</v>
      </c>
      <c r="C77" s="24" t="n">
        <v>20967</v>
      </c>
      <c r="D77" s="24" t="n">
        <v>19488</v>
      </c>
      <c r="E77" s="24" t="n">
        <v>16952</v>
      </c>
      <c r="F77" s="25" t="n">
        <v>15853</v>
      </c>
    </row>
    <row r="78">
      <c r="A78" s="4" t="inlineStr">
        <is>
          <t>Exceptional Items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5" t="n">
        <v>0</v>
      </c>
    </row>
    <row r="79">
      <c r="A79" s="4" t="inlineStr">
        <is>
          <t>Profit/Loss Before Tax</t>
        </is>
      </c>
      <c r="B79" s="24" t="n">
        <v>23261</v>
      </c>
      <c r="C79" s="24" t="n">
        <v>20967</v>
      </c>
      <c r="D79" s="24" t="n">
        <v>19488</v>
      </c>
      <c r="E79" s="24" t="n">
        <v>16952</v>
      </c>
      <c r="F79" s="25" t="n">
        <v>15853</v>
      </c>
    </row>
    <row r="80">
      <c r="A80" s="14" t="inlineStr">
        <is>
          <t>Tax Expenses-Continued Operations</t>
        </is>
      </c>
      <c r="B80" s="2" t="n"/>
      <c r="C80" s="2" t="n"/>
      <c r="D80" s="2" t="n"/>
      <c r="E80" s="2" t="n"/>
      <c r="F80" s="15" t="n"/>
    </row>
    <row r="81">
      <c r="A81" s="4" t="inlineStr">
        <is>
          <t>Current Tax</t>
        </is>
      </c>
      <c r="B81" s="24" t="n">
        <v>5161</v>
      </c>
      <c r="C81" s="24" t="n">
        <v>4626</v>
      </c>
      <c r="D81" s="24" t="n">
        <v>4665</v>
      </c>
      <c r="E81" s="24" t="n">
        <v>3442</v>
      </c>
      <c r="F81" s="25" t="n">
        <v>3719</v>
      </c>
    </row>
    <row r="82">
      <c r="A82" s="4" t="inlineStr">
        <is>
          <t>Less: MAT Credit Entitlement</t>
        </is>
      </c>
      <c r="B82" s="24" t="n">
        <v>0</v>
      </c>
      <c r="C82" s="24" t="n">
        <v>0</v>
      </c>
      <c r="D82" s="24" t="n">
        <v>0</v>
      </c>
      <c r="E82" s="24" t="n">
        <v>0</v>
      </c>
      <c r="F82" s="25" t="n">
        <v>0</v>
      </c>
    </row>
    <row r="83">
      <c r="A83" s="4" t="inlineStr">
        <is>
          <t>Deferred Tax</t>
        </is>
      </c>
      <c r="B83" s="24" t="n">
        <v>701</v>
      </c>
      <c r="C83" s="24" t="n">
        <v>631</v>
      </c>
      <c r="D83" s="24" t="n">
        <v>-22</v>
      </c>
      <c r="E83" s="24" t="n">
        <v>-14</v>
      </c>
      <c r="F83" s="25" t="n">
        <v>965</v>
      </c>
    </row>
    <row r="84">
      <c r="A84" s="4" t="inlineStr">
        <is>
          <t>Other Direct Taxes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5" t="n">
        <v>0</v>
      </c>
    </row>
    <row r="85">
      <c r="A85" s="4" t="inlineStr">
        <is>
          <t>Total Tax Expenses</t>
        </is>
      </c>
      <c r="B85" s="24" t="n">
        <v>5862</v>
      </c>
      <c r="C85" s="24" t="n">
        <v>5257</v>
      </c>
      <c r="D85" s="24" t="n">
        <v>4643</v>
      </c>
      <c r="E85" s="24" t="n">
        <v>3428</v>
      </c>
      <c r="F85" s="25" t="n">
        <v>4684</v>
      </c>
    </row>
    <row r="86">
      <c r="A86" s="4" t="inlineStr">
        <is>
          <t>Profit/Loss After Tax And Before ExtraOrdinary Items</t>
        </is>
      </c>
      <c r="B86" s="24" t="n">
        <v>17399</v>
      </c>
      <c r="C86" s="24" t="n">
        <v>15710</v>
      </c>
      <c r="D86" s="24" t="n">
        <v>14845</v>
      </c>
      <c r="E86" s="24" t="n">
        <v>13524</v>
      </c>
      <c r="F86" s="25" t="n">
        <v>11169</v>
      </c>
    </row>
    <row r="87">
      <c r="A87" s="4" t="inlineStr">
        <is>
          <t>Profit/Loss From Continuing Operations</t>
        </is>
      </c>
      <c r="B87" s="24" t="n">
        <v>17399</v>
      </c>
      <c r="C87" s="24" t="n">
        <v>15710</v>
      </c>
      <c r="D87" s="24" t="n">
        <v>14845</v>
      </c>
      <c r="E87" s="24" t="n">
        <v>13524</v>
      </c>
      <c r="F87" s="25" t="n">
        <v>11169</v>
      </c>
    </row>
    <row r="88">
      <c r="A88" s="4" t="inlineStr">
        <is>
          <t>Profit/Loss For The Period</t>
        </is>
      </c>
      <c r="B88" s="24" t="n">
        <v>17399</v>
      </c>
      <c r="C88" s="24" t="n">
        <v>15710</v>
      </c>
      <c r="D88" s="24" t="n">
        <v>14845</v>
      </c>
      <c r="E88" s="24" t="n">
        <v>13524</v>
      </c>
      <c r="F88" s="25" t="n">
        <v>11169</v>
      </c>
    </row>
    <row r="89">
      <c r="A89" s="4" t="inlineStr">
        <is>
          <t>Minority Interest</t>
        </is>
      </c>
      <c r="B89" s="24" t="n">
        <v>-9</v>
      </c>
      <c r="C89" s="24" t="n">
        <v>-8</v>
      </c>
      <c r="D89" s="24" t="n">
        <v>6</v>
      </c>
      <c r="E89" s="24" t="n">
        <v>-24</v>
      </c>
      <c r="F89" s="25" t="n">
        <v>-24</v>
      </c>
    </row>
    <row r="90">
      <c r="A90" s="4" t="inlineStr">
        <is>
          <t>Consolidated Profit/Loss After MI And Associates</t>
        </is>
      </c>
      <c r="B90" s="24" t="n">
        <v>17390</v>
      </c>
      <c r="C90" s="24" t="n">
        <v>15702</v>
      </c>
      <c r="D90" s="24" t="n">
        <v>14851</v>
      </c>
      <c r="E90" s="24" t="n">
        <v>13499</v>
      </c>
      <c r="F90" s="25" t="n">
        <v>11145</v>
      </c>
    </row>
    <row r="91">
      <c r="A91" s="14" t="inlineStr">
        <is>
          <t>OTHER ADDITIONAL INFORMATION</t>
        </is>
      </c>
      <c r="B91" s="2" t="n"/>
      <c r="C91" s="2" t="n"/>
      <c r="D91" s="2" t="n"/>
      <c r="E91" s="2" t="n"/>
      <c r="F91" s="15" t="n"/>
    </row>
    <row r="92">
      <c r="A92" s="14" t="inlineStr">
        <is>
          <t>EARNINGS PER SHARE</t>
        </is>
      </c>
      <c r="B92" s="2" t="n"/>
      <c r="C92" s="2" t="n"/>
      <c r="D92" s="2" t="n"/>
      <c r="E92" s="2" t="n"/>
      <c r="F92" s="15" t="n"/>
    </row>
    <row r="93">
      <c r="A93" s="4" t="inlineStr">
        <is>
          <t>Basic EPS (Rs.)</t>
        </is>
      </c>
      <c r="B93" s="24" t="n">
        <v>64</v>
      </c>
      <c r="C93" s="24" t="n">
        <v>58</v>
      </c>
      <c r="D93" s="24" t="n">
        <v>55</v>
      </c>
      <c r="E93" s="24" t="n">
        <v>50</v>
      </c>
      <c r="F93" s="25" t="n">
        <v>41</v>
      </c>
    </row>
    <row r="94">
      <c r="A94" s="4" t="inlineStr">
        <is>
          <t>Diluted EPS (Rs.)</t>
        </is>
      </c>
      <c r="B94" s="24" t="n">
        <v>64</v>
      </c>
      <c r="C94" s="24" t="n">
        <v>58</v>
      </c>
      <c r="D94" s="24" t="n">
        <v>55</v>
      </c>
      <c r="E94" s="24" t="n">
        <v>50</v>
      </c>
      <c r="F94" s="25" t="n">
        <v>41</v>
      </c>
    </row>
    <row r="95">
      <c r="A95" s="14" t="inlineStr">
        <is>
          <t>DIVIDEND AND DIVIDEND PERCENTAGE</t>
        </is>
      </c>
      <c r="B95" s="2" t="n"/>
      <c r="C95" s="2" t="n"/>
      <c r="D95" s="2" t="n"/>
      <c r="E95" s="2" t="n"/>
      <c r="F95" s="15" t="n"/>
    </row>
    <row r="96">
      <c r="A96" s="4" t="inlineStr">
        <is>
          <t>Equity Share Dividend</t>
        </is>
      </c>
      <c r="B96" s="24" t="n">
        <v>16254</v>
      </c>
      <c r="C96" s="24" t="n">
        <v>14080</v>
      </c>
      <c r="D96" s="24" t="n">
        <v>12995</v>
      </c>
      <c r="E96" s="24" t="n">
        <v>11391</v>
      </c>
      <c r="F96" s="25" t="n">
        <v>3257</v>
      </c>
    </row>
    <row r="97" ht="15" customHeight="1" s="36" thickBot="1">
      <c r="A97" s="6" t="inlineStr">
        <is>
          <t>Tax On Dividend</t>
        </is>
      </c>
      <c r="B97" s="26" t="n">
        <v>0</v>
      </c>
      <c r="C97" s="26" t="n">
        <v>0</v>
      </c>
      <c r="D97" s="26" t="n">
        <v>0</v>
      </c>
      <c r="E97" s="26" t="n">
        <v>0</v>
      </c>
      <c r="F97" s="27" t="n">
        <v>0</v>
      </c>
    </row>
    <row r="98" ht="15" customHeight="1" s="36" thickBot="1"/>
    <row r="99">
      <c r="A99" s="9" t="inlineStr">
        <is>
          <t>CASH FLOW</t>
        </is>
      </c>
      <c r="B99" s="10" t="n"/>
      <c r="C99" s="10" t="n"/>
      <c r="D99" s="10" t="n"/>
      <c r="E99" s="10" t="n"/>
      <c r="F99" s="11" t="n"/>
    </row>
    <row r="100">
      <c r="A100" s="12" t="inlineStr">
        <is>
          <t>Particulars</t>
        </is>
      </c>
      <c r="B100" s="3" t="inlineStr">
        <is>
          <t>FY2025</t>
        </is>
      </c>
      <c r="C100" s="3" t="inlineStr">
        <is>
          <t>FY2024</t>
        </is>
      </c>
      <c r="D100" s="3" t="inlineStr">
        <is>
          <t>FY2023</t>
        </is>
      </c>
      <c r="E100" s="3" t="inlineStr">
        <is>
          <t>FY2022</t>
        </is>
      </c>
      <c r="F100" s="13" t="inlineStr">
        <is>
          <t>FY2021</t>
        </is>
      </c>
    </row>
    <row r="101">
      <c r="A101" s="4" t="inlineStr">
        <is>
          <t>Net Profit/Loss Before Extraordinary Items And Tax</t>
        </is>
      </c>
      <c r="B101" s="24" t="n">
        <v>23261</v>
      </c>
      <c r="C101" s="24" t="n">
        <v>20967</v>
      </c>
      <c r="D101" s="24" t="n">
        <v>19488</v>
      </c>
      <c r="E101" s="24" t="n">
        <v>16951</v>
      </c>
      <c r="F101" s="25" t="n">
        <v>15853</v>
      </c>
    </row>
    <row r="102">
      <c r="A102" s="4" t="inlineStr">
        <is>
          <t>Net CashFlow From Operating Activities</t>
        </is>
      </c>
      <c r="B102" s="24" t="n">
        <v>22261</v>
      </c>
      <c r="C102" s="24" t="n">
        <v>22448</v>
      </c>
      <c r="D102" s="24" t="n">
        <v>18009</v>
      </c>
      <c r="E102" s="24" t="n">
        <v>16900</v>
      </c>
      <c r="F102" s="25" t="n">
        <v>19618</v>
      </c>
    </row>
    <row r="103">
      <c r="A103" s="4" t="inlineStr">
        <is>
          <t>Net Cash Used In Investing Activities</t>
        </is>
      </c>
      <c r="B103" s="24" t="n">
        <v>-4914</v>
      </c>
      <c r="C103" s="24" t="n">
        <v>-6723</v>
      </c>
      <c r="D103" s="24" t="n">
        <v>-3931</v>
      </c>
      <c r="E103" s="24" t="n">
        <v>1477</v>
      </c>
      <c r="F103" s="25" t="n">
        <v>-5742</v>
      </c>
    </row>
    <row r="104">
      <c r="A104" s="4" t="inlineStr">
        <is>
          <t>Net Cash Used From Financing Activities</t>
        </is>
      </c>
      <c r="B104" s="24" t="n">
        <v>-18561</v>
      </c>
      <c r="C104" s="24" t="n">
        <v>-15464</v>
      </c>
      <c r="D104" s="24" t="n">
        <v>-15881</v>
      </c>
      <c r="E104" s="24" t="n">
        <v>-14508</v>
      </c>
      <c r="F104" s="25" t="n">
        <v>-11180</v>
      </c>
    </row>
    <row r="105">
      <c r="A105" s="4" t="inlineStr">
        <is>
          <t>Foreign Exchange Gains / Losses</t>
        </is>
      </c>
      <c r="B105" s="24" t="n">
        <v>18</v>
      </c>
      <c r="C105" s="24" t="n">
        <v>115</v>
      </c>
      <c r="D105" s="24" t="n">
        <v>358</v>
      </c>
      <c r="E105" s="24" t="n">
        <v>120</v>
      </c>
      <c r="F105" s="25" t="n">
        <v>65</v>
      </c>
    </row>
    <row r="106">
      <c r="A106" s="4" t="inlineStr">
        <is>
          <t>Adjustments On Amalgamation Merger Demerger Others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5" t="n">
        <v>0</v>
      </c>
    </row>
    <row r="107">
      <c r="A107" s="4" t="inlineStr">
        <is>
          <t>Net Inc/Dec In Cash And Cash Equivalents</t>
        </is>
      </c>
      <c r="B107" s="24" t="n">
        <v>-1196</v>
      </c>
      <c r="C107" s="24" t="n">
        <v>376</v>
      </c>
      <c r="D107" s="24" t="n">
        <v>-1445</v>
      </c>
      <c r="E107" s="24" t="n">
        <v>3989</v>
      </c>
      <c r="F107" s="25" t="n">
        <v>2761</v>
      </c>
    </row>
    <row r="108">
      <c r="A108" s="4" t="inlineStr">
        <is>
          <t>Cash And Cash Equivalents Begin of Year</t>
        </is>
      </c>
      <c r="B108" s="24" t="n">
        <v>9441</v>
      </c>
      <c r="C108" s="24" t="n">
        <v>9065</v>
      </c>
      <c r="D108" s="24" t="n">
        <v>10510</v>
      </c>
      <c r="E108" s="24" t="n">
        <v>6521</v>
      </c>
      <c r="F108" s="25" t="n">
        <v>3760</v>
      </c>
    </row>
    <row r="109" ht="15" customHeight="1" s="36" thickBot="1">
      <c r="A109" s="6" t="inlineStr">
        <is>
          <t>Cash And Cash Equivalents End Of Year</t>
        </is>
      </c>
      <c r="B109" s="26" t="n">
        <v>8245</v>
      </c>
      <c r="C109" s="26" t="n">
        <v>9441</v>
      </c>
      <c r="D109" s="26" t="n">
        <v>9065</v>
      </c>
      <c r="E109" s="26" t="n">
        <v>10510</v>
      </c>
      <c r="F109" s="27" t="n">
        <v>6521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topLeftCell="A21" workbookViewId="0">
      <selection activeCell="H24" sqref="H24"/>
    </sheetView>
  </sheetViews>
  <sheetFormatPr baseColWidth="8" defaultRowHeight="14.5"/>
  <cols>
    <col width="51.453125" bestFit="1" customWidth="1" style="36" min="1" max="1"/>
    <col width="13.54296875" customWidth="1" style="36" min="2" max="2"/>
    <col width="13.36328125" customWidth="1" style="36" min="3" max="3"/>
    <col width="12.6328125" customWidth="1" style="36" min="4" max="4"/>
    <col width="12.54296875" customWidth="1" style="36" min="5" max="5"/>
    <col width="13.81640625" customWidth="1" style="36" min="6" max="6"/>
  </cols>
  <sheetData>
    <row r="1" ht="15" customHeight="1" s="36" thickBot="1">
      <c r="A1" s="46" t="inlineStr">
        <is>
          <t>Wipro Ltd. - Consolidated Financial Data (Rs Cr)</t>
        </is>
      </c>
      <c r="B1" s="47" t="n"/>
      <c r="C1" s="47" t="n"/>
      <c r="D1" s="47" t="n"/>
      <c r="E1" s="47" t="n"/>
      <c r="F1" s="48" t="n"/>
    </row>
    <row r="2" ht="15" customHeight="1" s="36" thickBot="1"/>
    <row r="3">
      <c r="A3" s="9" t="inlineStr">
        <is>
          <t>BALANCE SHEET</t>
        </is>
      </c>
      <c r="B3" s="10" t="n"/>
      <c r="C3" s="10" t="n"/>
      <c r="D3" s="10" t="n"/>
      <c r="E3" s="10" t="n"/>
      <c r="F3" s="11" t="n"/>
    </row>
    <row r="4">
      <c r="A4" s="12" t="inlineStr">
        <is>
          <t>Particulars</t>
        </is>
      </c>
      <c r="B4" s="3" t="inlineStr">
        <is>
          <t>FY2025</t>
        </is>
      </c>
      <c r="C4" s="3" t="inlineStr">
        <is>
          <t>FY2024</t>
        </is>
      </c>
      <c r="D4" s="3" t="inlineStr">
        <is>
          <t>FY2023</t>
        </is>
      </c>
      <c r="E4" s="3" t="inlineStr">
        <is>
          <t>FY2022</t>
        </is>
      </c>
      <c r="F4" s="13" t="inlineStr">
        <is>
          <t>FY2021</t>
        </is>
      </c>
    </row>
    <row r="5">
      <c r="A5" s="14" t="inlineStr">
        <is>
          <t>EQUITIES AND LIABILITIES</t>
        </is>
      </c>
      <c r="B5" s="2" t="n"/>
      <c r="C5" s="2" t="n"/>
      <c r="D5" s="2" t="n"/>
      <c r="E5" s="2" t="n"/>
      <c r="F5" s="15" t="n"/>
    </row>
    <row r="6">
      <c r="A6" s="14" t="inlineStr">
        <is>
          <t>SHAREHOLDER'S FUNDS</t>
        </is>
      </c>
      <c r="B6" s="2" t="n"/>
      <c r="C6" s="2" t="n"/>
      <c r="D6" s="2" t="n"/>
      <c r="E6" s="2" t="n"/>
      <c r="F6" s="15" t="n"/>
    </row>
    <row r="7">
      <c r="A7" s="4" t="inlineStr">
        <is>
          <t>Equity Share Capital</t>
        </is>
      </c>
      <c r="B7" s="1" t="n">
        <v>2094.4</v>
      </c>
      <c r="C7" s="1" t="n">
        <v>1045</v>
      </c>
      <c r="D7" s="1" t="n">
        <v>1097.6</v>
      </c>
      <c r="E7" s="1" t="n">
        <v>1096.4</v>
      </c>
      <c r="F7" s="5" t="n">
        <v>1095.8</v>
      </c>
    </row>
    <row r="8">
      <c r="A8" s="4" t="inlineStr">
        <is>
          <t>Total Share Capital</t>
        </is>
      </c>
      <c r="B8" s="1" t="n">
        <v>2094.4</v>
      </c>
      <c r="C8" s="1" t="n">
        <v>1045</v>
      </c>
      <c r="D8" s="1" t="n">
        <v>1097.6</v>
      </c>
      <c r="E8" s="1" t="n">
        <v>1096.4</v>
      </c>
      <c r="F8" s="5" t="n">
        <v>1095.8</v>
      </c>
    </row>
    <row r="9">
      <c r="A9" s="4" t="inlineStr">
        <is>
          <t>Reserves and Surplus</t>
        </is>
      </c>
      <c r="B9" s="1" t="n">
        <v>80269.7</v>
      </c>
      <c r="C9" s="1" t="n">
        <v>73488</v>
      </c>
      <c r="D9" s="1" t="n">
        <v>76570.3</v>
      </c>
      <c r="E9" s="1" t="n">
        <v>64306.6</v>
      </c>
      <c r="F9" s="5" t="n">
        <v>53805.2</v>
      </c>
    </row>
    <row r="10">
      <c r="A10" s="4" t="inlineStr">
        <is>
          <t>Total Reserves and Surplus</t>
        </is>
      </c>
      <c r="B10" s="1" t="n">
        <v>80269.7</v>
      </c>
      <c r="C10" s="1" t="n">
        <v>73488</v>
      </c>
      <c r="D10" s="1" t="n">
        <v>76570.3</v>
      </c>
      <c r="E10" s="1" t="n">
        <v>64306.6</v>
      </c>
      <c r="F10" s="5" t="n">
        <v>53805.2</v>
      </c>
    </row>
    <row r="11">
      <c r="A11" s="4" t="inlineStr">
        <is>
          <t>Total Shareholders Funds</t>
        </is>
      </c>
      <c r="B11" s="1" t="n">
        <v>82364.10000000001</v>
      </c>
      <c r="C11" s="1" t="n">
        <v>74533</v>
      </c>
      <c r="D11" s="1" t="n">
        <v>77667.89999999999</v>
      </c>
      <c r="E11" s="1" t="n">
        <v>65403</v>
      </c>
      <c r="F11" s="5" t="n">
        <v>54901</v>
      </c>
    </row>
    <row r="12">
      <c r="A12" s="4" t="inlineStr">
        <is>
          <t>Minority Interest</t>
        </is>
      </c>
      <c r="B12" s="1" t="n">
        <v>213.8</v>
      </c>
      <c r="C12" s="1" t="n">
        <v>134</v>
      </c>
      <c r="D12" s="1" t="n">
        <v>58.9</v>
      </c>
      <c r="E12" s="1" t="n">
        <v>51.5</v>
      </c>
      <c r="F12" s="5" t="n">
        <v>149.8</v>
      </c>
    </row>
    <row r="13">
      <c r="A13" s="14" t="inlineStr">
        <is>
          <t>NON-CURRENT LIABILITIES</t>
        </is>
      </c>
      <c r="B13" s="2" t="n"/>
      <c r="C13" s="2" t="n"/>
      <c r="D13" s="2" t="n"/>
      <c r="E13" s="2" t="n"/>
      <c r="F13" s="15" t="n"/>
    </row>
    <row r="14">
      <c r="A14" s="4" t="inlineStr">
        <is>
          <t>Long Term Borrowings</t>
        </is>
      </c>
      <c r="B14" s="1" t="n">
        <v>6395.4</v>
      </c>
      <c r="C14" s="1" t="n">
        <v>6230</v>
      </c>
      <c r="D14" s="1" t="n">
        <v>6127.2</v>
      </c>
      <c r="E14" s="1" t="n">
        <v>5646.3</v>
      </c>
      <c r="F14" s="5" t="n">
        <v>745.8</v>
      </c>
    </row>
    <row r="15">
      <c r="A15" s="4" t="inlineStr">
        <is>
          <t>Deferred Tax Liabilities [Net]</t>
        </is>
      </c>
      <c r="B15" s="1" t="n">
        <v>1644.3</v>
      </c>
      <c r="C15" s="1" t="n">
        <v>1746.7</v>
      </c>
      <c r="D15" s="1" t="n">
        <v>1515.3</v>
      </c>
      <c r="E15" s="1" t="n">
        <v>1214.1</v>
      </c>
      <c r="F15" s="5" t="n">
        <v>460.6</v>
      </c>
    </row>
    <row r="16">
      <c r="A16" s="4" t="inlineStr">
        <is>
          <t>Other Long Term Liabilities</t>
        </is>
      </c>
      <c r="B16" s="1" t="n">
        <v>8476.700000000001</v>
      </c>
      <c r="C16" s="1" t="n">
        <v>6479.2</v>
      </c>
      <c r="D16" s="1" t="n">
        <v>4694.4</v>
      </c>
      <c r="E16" s="1" t="n">
        <v>4085.5</v>
      </c>
      <c r="F16" s="5" t="n">
        <v>3165.3</v>
      </c>
    </row>
    <row r="17">
      <c r="A17" s="4" t="inlineStr">
        <is>
          <t>Long Term Provisions</t>
        </is>
      </c>
      <c r="B17" s="1" t="n">
        <v>465.6</v>
      </c>
      <c r="C17" s="1" t="n">
        <v>421.9</v>
      </c>
      <c r="D17" s="1" t="n">
        <v>294.7</v>
      </c>
      <c r="E17" s="1" t="n">
        <v>272.1</v>
      </c>
      <c r="F17" s="5" t="n">
        <v>305.7</v>
      </c>
    </row>
    <row r="18">
      <c r="A18" s="4" t="inlineStr">
        <is>
          <t>Total Non-Current Liabilities</t>
        </is>
      </c>
      <c r="B18" s="1" t="n">
        <v>16982</v>
      </c>
      <c r="C18" s="1" t="n">
        <v>14877.8</v>
      </c>
      <c r="D18" s="1" t="n">
        <v>12631.6</v>
      </c>
      <c r="E18" s="1" t="n">
        <v>11218</v>
      </c>
      <c r="F18" s="5" t="n">
        <v>4677.4</v>
      </c>
    </row>
    <row r="19">
      <c r="A19" s="14" t="inlineStr">
        <is>
          <t>CURRENT LIABILITIES</t>
        </is>
      </c>
      <c r="B19" s="2" t="n"/>
      <c r="C19" s="2" t="n"/>
      <c r="D19" s="2" t="n"/>
      <c r="E19" s="2" t="n"/>
      <c r="F19" s="15" t="n"/>
    </row>
    <row r="20">
      <c r="A20" s="4" t="inlineStr">
        <is>
          <t>Short Term Borrowings</t>
        </is>
      </c>
      <c r="B20" s="1" t="n">
        <v>9786.299999999999</v>
      </c>
      <c r="C20" s="1" t="n">
        <v>7916.6</v>
      </c>
      <c r="D20" s="1" t="n">
        <v>8882.1</v>
      </c>
      <c r="E20" s="1" t="n">
        <v>9523.299999999999</v>
      </c>
      <c r="F20" s="5" t="n">
        <v>6036.3</v>
      </c>
    </row>
    <row r="21">
      <c r="A21" s="4" t="inlineStr">
        <is>
          <t>Trade Payables</t>
        </is>
      </c>
      <c r="B21" s="1" t="n">
        <v>5866.7</v>
      </c>
      <c r="C21" s="1" t="n">
        <v>5765.5</v>
      </c>
      <c r="D21" s="1" t="n">
        <v>5972.3</v>
      </c>
      <c r="E21" s="1" t="n">
        <v>6252.2</v>
      </c>
      <c r="F21" s="5" t="n">
        <v>5417.4</v>
      </c>
      <c r="G21" s="21" t="n">
        <v>5840</v>
      </c>
    </row>
    <row r="22">
      <c r="A22" s="4" t="inlineStr">
        <is>
          <t>Other Current Liabilities</t>
        </is>
      </c>
      <c r="B22" s="1" t="n">
        <v>11208.5</v>
      </c>
      <c r="C22" s="1" t="n">
        <v>9760.9</v>
      </c>
      <c r="D22" s="1" t="n">
        <v>10077.5</v>
      </c>
      <c r="E22" s="1" t="n">
        <v>13249.3</v>
      </c>
      <c r="F22" s="5" t="n">
        <v>10002.5</v>
      </c>
    </row>
    <row r="23">
      <c r="A23" s="4" t="inlineStr">
        <is>
          <t>Short Term Provisions</t>
        </is>
      </c>
      <c r="B23" s="1" t="n">
        <v>1763.8</v>
      </c>
      <c r="C23" s="1" t="n">
        <v>1802.8</v>
      </c>
      <c r="D23" s="1" t="n">
        <v>1843.4</v>
      </c>
      <c r="E23" s="1" t="n">
        <v>1808.1</v>
      </c>
      <c r="F23" s="5" t="n">
        <v>1547.8</v>
      </c>
    </row>
    <row r="24">
      <c r="A24" s="4" t="inlineStr">
        <is>
          <t>Total Current Liabilities</t>
        </is>
      </c>
      <c r="B24" s="1" t="n">
        <v>28625.3</v>
      </c>
      <c r="C24" s="1" t="n">
        <v>25245.8</v>
      </c>
      <c r="D24" s="1" t="n">
        <v>26775.3</v>
      </c>
      <c r="E24" s="1" t="n">
        <v>30832.9</v>
      </c>
      <c r="F24" s="5" t="n">
        <v>23004</v>
      </c>
    </row>
    <row r="25">
      <c r="A25" s="4" t="inlineStr">
        <is>
          <t>Total Capital And Liabilities</t>
        </is>
      </c>
      <c r="B25" s="1" t="n">
        <v>128185.2</v>
      </c>
      <c r="C25" s="1" t="n">
        <v>114790.6</v>
      </c>
      <c r="D25" s="1" t="n">
        <v>117133.7</v>
      </c>
      <c r="E25" s="1" t="n">
        <v>107505.4</v>
      </c>
      <c r="F25" s="5" t="n">
        <v>82732.2</v>
      </c>
    </row>
    <row r="26">
      <c r="A26" s="14" t="inlineStr">
        <is>
          <t>ASSETS</t>
        </is>
      </c>
      <c r="B26" s="2" t="n"/>
      <c r="C26" s="2" t="n"/>
      <c r="D26" s="2" t="n"/>
      <c r="E26" s="2" t="n"/>
      <c r="F26" s="15" t="n"/>
    </row>
    <row r="27">
      <c r="A27" s="14" t="inlineStr">
        <is>
          <t>NON-CURRENT ASSETS</t>
        </is>
      </c>
      <c r="B27" s="2" t="n"/>
      <c r="C27" s="2" t="n"/>
      <c r="D27" s="2" t="n"/>
      <c r="E27" s="2" t="n"/>
      <c r="F27" s="15" t="n"/>
    </row>
    <row r="28">
      <c r="A28" s="4" t="inlineStr">
        <is>
          <t>Tangible Assets</t>
        </is>
      </c>
      <c r="B28" s="1" t="n">
        <v>10407.1</v>
      </c>
      <c r="C28" s="1" t="n">
        <v>9208.299999999999</v>
      </c>
      <c r="D28" s="1" t="n">
        <v>10103.8</v>
      </c>
      <c r="E28" s="1" t="n">
        <v>9348</v>
      </c>
      <c r="F28" s="5" t="n">
        <v>8217.1</v>
      </c>
    </row>
    <row r="29">
      <c r="A29" s="4" t="inlineStr">
        <is>
          <t>Intangible Assets</t>
        </is>
      </c>
      <c r="B29" s="1" t="n">
        <v>2745</v>
      </c>
      <c r="C29" s="1" t="n">
        <v>3274.8</v>
      </c>
      <c r="D29" s="1" t="n">
        <v>4304.5</v>
      </c>
      <c r="E29" s="1" t="n">
        <v>4355.5</v>
      </c>
      <c r="F29" s="5" t="n">
        <v>1308.5</v>
      </c>
    </row>
    <row r="30">
      <c r="A30" s="4" t="inlineStr">
        <is>
          <t>Capital Work-In-Progress</t>
        </is>
      </c>
      <c r="B30" s="1" t="n">
        <v>196.4</v>
      </c>
      <c r="C30" s="1" t="n">
        <v>723.4</v>
      </c>
      <c r="D30" s="1" t="n">
        <v>617.1</v>
      </c>
      <c r="E30" s="1" t="n">
        <v>1601.5</v>
      </c>
      <c r="F30" s="5" t="n">
        <v>1853.2</v>
      </c>
    </row>
    <row r="31">
      <c r="A31" s="4" t="inlineStr">
        <is>
          <t>Fixed Assets</t>
        </is>
      </c>
      <c r="B31" s="1" t="n">
        <v>13348.5</v>
      </c>
      <c r="C31" s="1" t="n">
        <v>13206.5</v>
      </c>
      <c r="D31" s="1" t="n">
        <v>15025.4</v>
      </c>
      <c r="E31" s="1" t="n">
        <v>15305</v>
      </c>
      <c r="F31" s="5" t="n">
        <v>11378.8</v>
      </c>
    </row>
    <row r="32">
      <c r="A32" s="4" t="inlineStr">
        <is>
          <t>Non-Current Investments</t>
        </is>
      </c>
      <c r="B32" s="1" t="n">
        <v>2778.5</v>
      </c>
      <c r="C32" s="1" t="n">
        <v>2267.3</v>
      </c>
      <c r="D32" s="1" t="n">
        <v>2150</v>
      </c>
      <c r="E32" s="1" t="n">
        <v>1988.3</v>
      </c>
      <c r="F32" s="5" t="n">
        <v>1204</v>
      </c>
    </row>
    <row r="33">
      <c r="A33" s="4" t="inlineStr">
        <is>
          <t>Deferred Tax Assets [Net]</t>
        </is>
      </c>
      <c r="B33" s="1" t="n">
        <v>256.1</v>
      </c>
      <c r="C33" s="1" t="n">
        <v>181.7</v>
      </c>
      <c r="D33" s="1" t="n">
        <v>210</v>
      </c>
      <c r="E33" s="1" t="n">
        <v>229.8</v>
      </c>
      <c r="F33" s="5" t="n">
        <v>166.4</v>
      </c>
    </row>
    <row r="34">
      <c r="A34" s="4" t="inlineStr">
        <is>
          <t>Long Term Loans And Advances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5" t="n">
        <v>0</v>
      </c>
    </row>
    <row r="35">
      <c r="A35" s="4" t="inlineStr">
        <is>
          <t>Other Non-Current Assets</t>
        </is>
      </c>
      <c r="B35" s="1" t="n">
        <v>1990</v>
      </c>
      <c r="C35" s="1" t="n">
        <v>2924</v>
      </c>
      <c r="D35" s="1" t="n">
        <v>3290.2</v>
      </c>
      <c r="E35" s="1" t="n">
        <v>3621</v>
      </c>
      <c r="F35" s="5" t="n">
        <v>4149.7</v>
      </c>
    </row>
    <row r="36">
      <c r="A36" s="4" t="inlineStr">
        <is>
          <t>Total Non-Current Assets</t>
        </is>
      </c>
      <c r="B36" s="1" t="n">
        <v>50407.7</v>
      </c>
      <c r="C36" s="1" t="n">
        <v>49724.4</v>
      </c>
      <c r="D36" s="1" t="n">
        <v>51024.1</v>
      </c>
      <c r="E36" s="1" t="n">
        <v>45430.2</v>
      </c>
      <c r="F36" s="5" t="n">
        <v>30413.6</v>
      </c>
    </row>
    <row r="37">
      <c r="A37" s="14" t="inlineStr">
        <is>
          <t>CURRENT ASSETS</t>
        </is>
      </c>
      <c r="B37" s="2" t="n"/>
      <c r="C37" s="2" t="n"/>
      <c r="D37" s="2" t="n"/>
      <c r="E37" s="2" t="n"/>
      <c r="F37" s="15" t="n"/>
    </row>
    <row r="38">
      <c r="A38" s="4" t="inlineStr">
        <is>
          <t>Current Investments</t>
        </is>
      </c>
      <c r="B38" s="1" t="n">
        <v>41147.4</v>
      </c>
      <c r="C38" s="1" t="n">
        <v>31117.1</v>
      </c>
      <c r="D38" s="1" t="n">
        <v>30923.2</v>
      </c>
      <c r="E38" s="1" t="n">
        <v>24165.5</v>
      </c>
      <c r="F38" s="5" t="n">
        <v>17570.7</v>
      </c>
    </row>
    <row r="39">
      <c r="A39" s="4" t="inlineStr">
        <is>
          <t>Inventories</t>
        </is>
      </c>
      <c r="B39" s="1" t="n">
        <v>69.40000000000001</v>
      </c>
      <c r="C39" s="1" t="n">
        <v>90.7</v>
      </c>
      <c r="D39" s="1" t="n">
        <v>118.8</v>
      </c>
      <c r="E39" s="1" t="n">
        <v>133.4</v>
      </c>
      <c r="F39" s="5" t="n">
        <v>106.4</v>
      </c>
      <c r="G39" s="20" t="n">
        <v>186.5</v>
      </c>
    </row>
    <row r="40">
      <c r="A40" s="4" t="inlineStr">
        <is>
          <t>Trade Receivables</t>
        </is>
      </c>
      <c r="B40" s="1" t="n">
        <v>11774.5</v>
      </c>
      <c r="C40" s="1" t="n">
        <v>17382.2</v>
      </c>
      <c r="D40" s="1" t="n">
        <v>18686.5</v>
      </c>
      <c r="E40" s="1" t="n">
        <v>11521.9</v>
      </c>
      <c r="F40" s="5" t="n">
        <v>9429.799999999999</v>
      </c>
      <c r="G40" s="21" t="n">
        <v>10447.4</v>
      </c>
    </row>
    <row r="41">
      <c r="A41" s="4" t="inlineStr">
        <is>
          <t>Cash And Cash Equivalents</t>
        </is>
      </c>
      <c r="B41" s="1" t="n">
        <v>12197.4</v>
      </c>
      <c r="C41" s="1" t="n">
        <v>9695.299999999999</v>
      </c>
      <c r="D41" s="1" t="n">
        <v>9188</v>
      </c>
      <c r="E41" s="1" t="n">
        <v>10383.6</v>
      </c>
      <c r="F41" s="5" t="n">
        <v>16979.3</v>
      </c>
    </row>
    <row r="42">
      <c r="A42" s="4" t="inlineStr">
        <is>
          <t>Short Term Loans And Advances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5" t="n">
        <v>0</v>
      </c>
    </row>
    <row r="43">
      <c r="A43" s="4" t="inlineStr">
        <is>
          <t>OtherCurrentAssets</t>
        </is>
      </c>
      <c r="B43" s="1" t="n">
        <v>12588.8</v>
      </c>
      <c r="C43" s="1" t="n">
        <v>6780.9</v>
      </c>
      <c r="D43" s="1" t="n">
        <v>7193.1</v>
      </c>
      <c r="E43" s="1" t="n">
        <v>15870.8</v>
      </c>
      <c r="F43" s="5" t="n">
        <v>8232.4</v>
      </c>
    </row>
    <row r="44">
      <c r="A44" s="4" t="inlineStr">
        <is>
          <t>Total Current Assets</t>
        </is>
      </c>
      <c r="B44" s="1" t="n">
        <v>77777.5</v>
      </c>
      <c r="C44" s="1" t="n">
        <v>65066.2</v>
      </c>
      <c r="D44" s="1" t="n">
        <v>66109.60000000001</v>
      </c>
      <c r="E44" s="1" t="n">
        <v>62075.2</v>
      </c>
      <c r="F44" s="5" t="n">
        <v>52318.6</v>
      </c>
    </row>
    <row r="45">
      <c r="A45" s="4" t="inlineStr">
        <is>
          <t>Total Assets</t>
        </is>
      </c>
      <c r="B45" s="1" t="n">
        <v>128185.2</v>
      </c>
      <c r="C45" s="1" t="n">
        <v>114790.6</v>
      </c>
      <c r="D45" s="1" t="n">
        <v>117133.7</v>
      </c>
      <c r="E45" s="1" t="n">
        <v>107505.4</v>
      </c>
      <c r="F45" s="5" t="n">
        <v>82732.2</v>
      </c>
    </row>
    <row r="46">
      <c r="A46" s="14" t="inlineStr">
        <is>
          <t>OTHER ADDITIONAL INFORMATION</t>
        </is>
      </c>
      <c r="B46" s="2" t="n"/>
      <c r="C46" s="2" t="n"/>
      <c r="D46" s="2" t="n"/>
      <c r="E46" s="2" t="n"/>
      <c r="F46" s="15" t="n"/>
    </row>
    <row r="47">
      <c r="A47" s="14" t="inlineStr">
        <is>
          <t>CONTINGENT LIABILITIES, COMMITMENTS</t>
        </is>
      </c>
      <c r="B47" s="2" t="n"/>
      <c r="C47" s="2" t="n"/>
      <c r="D47" s="2" t="n"/>
      <c r="E47" s="2" t="n"/>
      <c r="F47" s="15" t="n"/>
    </row>
    <row r="48">
      <c r="A48" s="4" t="inlineStr">
        <is>
          <t>Contingent Liabilities</t>
        </is>
      </c>
      <c r="B48" s="1" t="n">
        <v>14055.2</v>
      </c>
      <c r="C48" s="1" t="n">
        <v>13453.7</v>
      </c>
      <c r="D48" s="1" t="n">
        <v>13045.6</v>
      </c>
      <c r="E48" s="1" t="n">
        <v>13307.2</v>
      </c>
      <c r="F48" s="5" t="n">
        <v>11606.3</v>
      </c>
    </row>
    <row r="49">
      <c r="A49" s="14" t="inlineStr">
        <is>
          <t>BONUS DETAILS</t>
        </is>
      </c>
      <c r="B49" s="2" t="n"/>
      <c r="C49" s="2" t="n"/>
      <c r="D49" s="2" t="n"/>
      <c r="E49" s="2" t="n"/>
      <c r="F49" s="15" t="n"/>
    </row>
    <row r="50">
      <c r="A50" s="4" t="inlineStr">
        <is>
          <t>Bonus Equity Share Capital</t>
        </is>
      </c>
      <c r="B50" s="1" t="n">
        <v>2088.6</v>
      </c>
      <c r="C50" s="1" t="n">
        <v>1041.9</v>
      </c>
      <c r="D50" s="1" t="n">
        <v>1094.34</v>
      </c>
      <c r="E50" s="1" t="n">
        <v>1094.34</v>
      </c>
      <c r="F50" s="5" t="n">
        <v>1094.34</v>
      </c>
    </row>
    <row r="51">
      <c r="A51" s="14" t="inlineStr">
        <is>
          <t>NON-CURRENT INVESTMENTS</t>
        </is>
      </c>
      <c r="B51" s="2" t="n"/>
      <c r="C51" s="2" t="n"/>
      <c r="D51" s="2" t="n"/>
      <c r="E51" s="2" t="n"/>
      <c r="F51" s="15" t="n"/>
    </row>
    <row r="52">
      <c r="A52" s="4" t="inlineStr">
        <is>
          <t>Non-Current Investments Quoted Market Value</t>
        </is>
      </c>
      <c r="B52" s="1" t="n">
        <v>5.7</v>
      </c>
      <c r="C52" s="1" t="n">
        <v>10.8</v>
      </c>
      <c r="D52" s="1" t="n">
        <v>3.3</v>
      </c>
      <c r="E52" s="1" t="n">
        <v>4.1</v>
      </c>
      <c r="F52" s="5" t="n">
        <v>2.6</v>
      </c>
    </row>
    <row r="53">
      <c r="A53" s="4" t="inlineStr">
        <is>
          <t>Non-Current Investments Unquoted Book Value</t>
        </is>
      </c>
      <c r="B53" s="1" t="n">
        <v>2640.1</v>
      </c>
      <c r="C53" s="1" t="n">
        <v>2152.1</v>
      </c>
      <c r="D53" s="1" t="n">
        <v>2068.7</v>
      </c>
      <c r="E53" s="1" t="n">
        <v>1906.8</v>
      </c>
      <c r="F53" s="5" t="n">
        <v>1055</v>
      </c>
    </row>
    <row r="54">
      <c r="A54" s="14" t="inlineStr">
        <is>
          <t>CURRENT INVESTMENTS</t>
        </is>
      </c>
      <c r="B54" s="2" t="n"/>
      <c r="C54" s="2" t="n"/>
      <c r="D54" s="2" t="n"/>
      <c r="E54" s="2" t="n"/>
      <c r="F54" s="15" t="n"/>
    </row>
    <row r="55">
      <c r="A55" s="4" t="inlineStr">
        <is>
          <t>Current Investments Quoted Market Value</t>
        </is>
      </c>
      <c r="B55" s="1" t="n">
        <v>25403.6</v>
      </c>
      <c r="C55" s="1" t="n">
        <v>20147.7</v>
      </c>
      <c r="D55" s="1" t="n">
        <v>22836.7</v>
      </c>
      <c r="E55" s="1" t="n">
        <v>19090.2</v>
      </c>
      <c r="F55" s="5" t="n">
        <v>13138.2</v>
      </c>
    </row>
    <row r="56" ht="15" customHeight="1" s="36" thickBot="1">
      <c r="A56" s="6" t="inlineStr">
        <is>
          <t>Current Investments Unquoted Book Value</t>
        </is>
      </c>
      <c r="B56" s="7" t="n">
        <v>15743.8</v>
      </c>
      <c r="C56" s="7" t="n">
        <v>10969.4</v>
      </c>
      <c r="D56" s="7" t="n">
        <v>8086.5</v>
      </c>
      <c r="E56" s="7" t="n">
        <v>5075.3</v>
      </c>
      <c r="F56" s="8" t="n">
        <v>4432.5</v>
      </c>
    </row>
    <row r="57" ht="15" customHeight="1" s="36" thickBot="1"/>
    <row r="58">
      <c r="A58" s="9" t="inlineStr">
        <is>
          <t>P &amp; L</t>
        </is>
      </c>
      <c r="B58" s="10" t="n"/>
      <c r="C58" s="10" t="n"/>
      <c r="D58" s="10" t="n"/>
      <c r="E58" s="10" t="n"/>
      <c r="F58" s="11" t="n"/>
    </row>
    <row r="59">
      <c r="A59" s="12" t="inlineStr">
        <is>
          <t>Particulars</t>
        </is>
      </c>
      <c r="B59" s="3" t="inlineStr">
        <is>
          <t>FY2025</t>
        </is>
      </c>
      <c r="C59" s="3" t="inlineStr">
        <is>
          <t>FY2024</t>
        </is>
      </c>
      <c r="D59" s="3" t="inlineStr">
        <is>
          <t>FY2023</t>
        </is>
      </c>
      <c r="E59" s="3" t="inlineStr">
        <is>
          <t>FY2022</t>
        </is>
      </c>
      <c r="F59" s="13" t="inlineStr">
        <is>
          <t>FY2021</t>
        </is>
      </c>
    </row>
    <row r="60">
      <c r="A60" s="14" t="inlineStr">
        <is>
          <t>INCOME</t>
        </is>
      </c>
      <c r="B60" s="2" t="n"/>
      <c r="C60" s="2" t="n"/>
      <c r="D60" s="2" t="n"/>
      <c r="E60" s="2" t="n"/>
      <c r="F60" s="15" t="n"/>
    </row>
    <row r="61">
      <c r="A61" s="4" t="inlineStr">
        <is>
          <t>Revenue From Operations [Gross]</t>
        </is>
      </c>
      <c r="B61" s="1" t="n">
        <v>89088.39999999999</v>
      </c>
      <c r="C61" s="1" t="n">
        <v>89760.3</v>
      </c>
      <c r="D61" s="1" t="n">
        <v>90487.60000000001</v>
      </c>
      <c r="E61" s="1" t="n">
        <v>79093.39999999999</v>
      </c>
      <c r="F61" s="5" t="n">
        <v>61943</v>
      </c>
    </row>
    <row r="62">
      <c r="A62" s="4" t="inlineStr">
        <is>
          <t>Less: Excise/Sevice Tax/Other Levies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5" t="n">
        <v>0</v>
      </c>
    </row>
    <row r="63">
      <c r="A63" s="4" t="inlineStr">
        <is>
          <t>Revenue From Operations [Net]</t>
        </is>
      </c>
      <c r="B63" s="1" t="n">
        <v>89088.39999999999</v>
      </c>
      <c r="C63" s="1" t="n">
        <v>89760.3</v>
      </c>
      <c r="D63" s="1" t="n">
        <v>90487.60000000001</v>
      </c>
      <c r="E63" s="1" t="n">
        <v>79093.39999999999</v>
      </c>
      <c r="F63" s="5" t="n">
        <v>61943</v>
      </c>
    </row>
    <row r="64">
      <c r="A64" s="4" t="inlineStr">
        <is>
          <t>Total Operating Revenues</t>
        </is>
      </c>
      <c r="B64" s="1" t="n">
        <v>89088.39999999999</v>
      </c>
      <c r="C64" s="1" t="n">
        <v>89760.3</v>
      </c>
      <c r="D64" s="1" t="n">
        <v>90487.60000000001</v>
      </c>
      <c r="E64" s="1" t="n">
        <v>79312</v>
      </c>
      <c r="F64" s="5" t="n">
        <v>61934.9</v>
      </c>
    </row>
    <row r="65">
      <c r="A65" s="4" t="inlineStr">
        <is>
          <t>Other Income</t>
        </is>
      </c>
      <c r="B65" s="1" t="n">
        <v>3884</v>
      </c>
      <c r="C65" s="1" t="n">
        <v>2630.8</v>
      </c>
      <c r="D65" s="1" t="n">
        <v>2265.7</v>
      </c>
      <c r="E65" s="1" t="n">
        <v>2061.2</v>
      </c>
      <c r="F65" s="5" t="n">
        <v>2390.7</v>
      </c>
    </row>
    <row r="66">
      <c r="A66" s="4" t="inlineStr">
        <is>
          <t>Total Revenue</t>
        </is>
      </c>
      <c r="B66" s="1" t="n">
        <v>92972.39999999999</v>
      </c>
      <c r="C66" s="1" t="n">
        <v>92391.10000000001</v>
      </c>
      <c r="D66" s="1" t="n">
        <v>92753.3</v>
      </c>
      <c r="E66" s="1" t="n">
        <v>81373.2</v>
      </c>
      <c r="F66" s="5" t="n">
        <v>64325.6</v>
      </c>
    </row>
    <row r="67">
      <c r="A67" s="14" t="inlineStr">
        <is>
          <t>EXPENSES</t>
        </is>
      </c>
      <c r="B67" s="2" t="n"/>
      <c r="C67" s="2" t="n"/>
      <c r="D67" s="2" t="n"/>
      <c r="E67" s="2" t="n"/>
      <c r="F67" s="15" t="n"/>
    </row>
    <row r="68">
      <c r="A68" s="4" t="inlineStr">
        <is>
          <t>Cost Of Materials Consumed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5" t="n">
        <v>0</v>
      </c>
    </row>
    <row r="69">
      <c r="A69" s="4" t="inlineStr">
        <is>
          <t>Purchase Of Stock-In Trade</t>
        </is>
      </c>
      <c r="B69" s="1" t="n">
        <v>296.7</v>
      </c>
      <c r="C69" s="1" t="n">
        <v>383.2</v>
      </c>
      <c r="D69" s="1" t="n">
        <v>649.4</v>
      </c>
      <c r="E69" s="1" t="n">
        <v>673.5</v>
      </c>
      <c r="F69" s="5" t="n">
        <v>695.7</v>
      </c>
    </row>
    <row r="70">
      <c r="A70" s="4" t="inlineStr">
        <is>
          <t>Operating And Direct Expenses</t>
        </is>
      </c>
      <c r="B70" s="1" t="n">
        <v>12332.8</v>
      </c>
      <c r="C70" s="1" t="n">
        <v>14084.2</v>
      </c>
      <c r="D70" s="1" t="n">
        <v>15336.7</v>
      </c>
      <c r="E70" s="1" t="n">
        <v>15449.9</v>
      </c>
      <c r="F70" s="5" t="n">
        <v>12075.2</v>
      </c>
    </row>
    <row r="71">
      <c r="A71" s="4" t="inlineStr">
        <is>
          <t>Changes In Inventories Of FGWIP And Stock In Trade</t>
        </is>
      </c>
      <c r="B71" s="1" t="n">
        <v>19.5</v>
      </c>
      <c r="C71" s="1" t="n">
        <v>27.8</v>
      </c>
      <c r="D71" s="1" t="n">
        <v>15</v>
      </c>
      <c r="E71" s="1" t="n">
        <v>-36.9</v>
      </c>
      <c r="F71" s="5" t="n">
        <v>31.5</v>
      </c>
    </row>
    <row r="72">
      <c r="A72" s="4" t="inlineStr">
        <is>
          <t>Employee Benefit Expenses</t>
        </is>
      </c>
      <c r="B72" s="1" t="n">
        <v>53347.7</v>
      </c>
      <c r="C72" s="1" t="n">
        <v>54930.1</v>
      </c>
      <c r="D72" s="1" t="n">
        <v>53764.4</v>
      </c>
      <c r="E72" s="1" t="n">
        <v>45007.5</v>
      </c>
      <c r="F72" s="5" t="n">
        <v>33237.1</v>
      </c>
    </row>
    <row r="73">
      <c r="A73" s="4" t="inlineStr">
        <is>
          <t>Finance Costs</t>
        </is>
      </c>
      <c r="B73" s="1" t="n">
        <v>1477</v>
      </c>
      <c r="C73" s="1" t="n">
        <v>1255.2</v>
      </c>
      <c r="D73" s="1" t="n">
        <v>1007.7</v>
      </c>
      <c r="E73" s="1" t="n">
        <v>532.5</v>
      </c>
      <c r="F73" s="5" t="n">
        <v>508.8</v>
      </c>
    </row>
    <row r="74">
      <c r="A74" s="4" t="inlineStr">
        <is>
          <t>Depreciation And Amortisation Expenses</t>
        </is>
      </c>
      <c r="B74" s="1" t="n">
        <v>2957.9</v>
      </c>
      <c r="C74" s="1" t="n">
        <v>3407.1</v>
      </c>
      <c r="D74" s="1" t="n">
        <v>3340.2</v>
      </c>
      <c r="E74" s="1" t="n">
        <v>3077.8</v>
      </c>
      <c r="F74" s="5" t="n">
        <v>2763.4</v>
      </c>
    </row>
    <row r="75">
      <c r="A75" s="4" t="inlineStr">
        <is>
          <t>Other Expenses</t>
        </is>
      </c>
      <c r="B75" s="1" t="n">
        <v>5070.5</v>
      </c>
      <c r="C75" s="1" t="n">
        <v>3559.2</v>
      </c>
      <c r="D75" s="1" t="n">
        <v>3868.5</v>
      </c>
      <c r="E75" s="1" t="n">
        <v>1533.8</v>
      </c>
      <c r="F75" s="5" t="n">
        <v>1124</v>
      </c>
    </row>
    <row r="76">
      <c r="A76" s="4" t="inlineStr">
        <is>
          <t>Total Expenses</t>
        </is>
      </c>
      <c r="B76" s="1" t="n">
        <v>75502.10000000001</v>
      </c>
      <c r="C76" s="1" t="n">
        <v>77646.8</v>
      </c>
      <c r="D76" s="1" t="n">
        <v>77981.89999999999</v>
      </c>
      <c r="E76" s="1" t="n">
        <v>66238.10000000001</v>
      </c>
      <c r="F76" s="5" t="n">
        <v>50435.7</v>
      </c>
    </row>
    <row r="77">
      <c r="A77" s="4" t="inlineStr">
        <is>
          <t>Profit/Loss Before Exceptional, ExtraOrdinary Items And Tax</t>
        </is>
      </c>
      <c r="B77" s="1" t="n">
        <v>17470.3</v>
      </c>
      <c r="C77" s="1" t="n">
        <v>14744.3</v>
      </c>
      <c r="D77" s="1" t="n">
        <v>14771.4</v>
      </c>
      <c r="E77" s="1" t="n">
        <v>15135.1</v>
      </c>
      <c r="F77" s="5" t="n">
        <v>13889.9</v>
      </c>
    </row>
    <row r="78">
      <c r="A78" s="4" t="inlineStr">
        <is>
          <t>Exceptional Items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5" t="n">
        <v>0</v>
      </c>
    </row>
    <row r="79">
      <c r="A79" s="4" t="inlineStr">
        <is>
          <t>Profit/Loss Before Tax</t>
        </is>
      </c>
      <c r="B79" s="1" t="n">
        <v>17470.3</v>
      </c>
      <c r="C79" s="1" t="n">
        <v>14744.3</v>
      </c>
      <c r="D79" s="1" t="n">
        <v>14771.4</v>
      </c>
      <c r="E79" s="1" t="n">
        <v>15135.1</v>
      </c>
      <c r="F79" s="5" t="n">
        <v>13889.9</v>
      </c>
    </row>
    <row r="80">
      <c r="A80" s="14" t="inlineStr">
        <is>
          <t>Tax Expenses-Continued Operations</t>
        </is>
      </c>
      <c r="B80" s="2" t="n"/>
      <c r="C80" s="2" t="n"/>
      <c r="D80" s="2" t="n"/>
      <c r="E80" s="2" t="n"/>
      <c r="F80" s="15" t="n"/>
    </row>
    <row r="81">
      <c r="A81" s="4" t="inlineStr">
        <is>
          <t>Current Tax</t>
        </is>
      </c>
      <c r="B81" s="1" t="n">
        <v>4540.5</v>
      </c>
      <c r="C81" s="1" t="n">
        <v>3497.3</v>
      </c>
      <c r="D81" s="1" t="n">
        <v>3219.8</v>
      </c>
      <c r="E81" s="1" t="n">
        <v>3241.5</v>
      </c>
      <c r="F81" s="5" t="n">
        <v>2606.5</v>
      </c>
    </row>
    <row r="82">
      <c r="A82" s="4" t="inlineStr">
        <is>
          <t>Less: MAT Credit Entitlement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5" t="n">
        <v>0</v>
      </c>
    </row>
    <row r="83">
      <c r="A83" s="4" t="inlineStr">
        <is>
          <t>Deferred Tax</t>
        </is>
      </c>
      <c r="B83" s="1" t="n">
        <v>-262.8</v>
      </c>
      <c r="C83" s="1" t="n">
        <v>111.6</v>
      </c>
      <c r="D83" s="1" t="n">
        <v>179.4</v>
      </c>
      <c r="E83" s="1" t="n">
        <v>-344.1</v>
      </c>
      <c r="F83" s="5" t="n">
        <v>428.4</v>
      </c>
    </row>
    <row r="84">
      <c r="A84" s="4" t="inlineStr">
        <is>
          <t>Other Direct Taxes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5" t="n">
        <v>0</v>
      </c>
    </row>
    <row r="85">
      <c r="A85" s="4" t="inlineStr">
        <is>
          <t>Total Tax Expenses</t>
        </is>
      </c>
      <c r="B85" s="1" t="n">
        <v>4277.7</v>
      </c>
      <c r="C85" s="1" t="n">
        <v>3608.9</v>
      </c>
      <c r="D85" s="1" t="n">
        <v>3399.2</v>
      </c>
      <c r="E85" s="1" t="n">
        <v>2897.4</v>
      </c>
      <c r="F85" s="5" t="n">
        <v>3034.9</v>
      </c>
    </row>
    <row r="86">
      <c r="A86" s="4" t="inlineStr">
        <is>
          <t>Profit/Loss After Tax And Before ExtraOrdinary Items</t>
        </is>
      </c>
      <c r="B86" s="1" t="n">
        <v>13192.6</v>
      </c>
      <c r="C86" s="1" t="n">
        <v>11135.4</v>
      </c>
      <c r="D86" s="1" t="n">
        <v>11372.2</v>
      </c>
      <c r="E86" s="1" t="n">
        <v>12237.7</v>
      </c>
      <c r="F86" s="5" t="n">
        <v>10855</v>
      </c>
    </row>
    <row r="87">
      <c r="A87" s="4" t="inlineStr">
        <is>
          <t>Profit/Loss From Continuing Operations</t>
        </is>
      </c>
      <c r="B87" s="1" t="n">
        <v>13192.6</v>
      </c>
      <c r="C87" s="1" t="n">
        <v>11135.4</v>
      </c>
      <c r="D87" s="1" t="n">
        <v>11372.2</v>
      </c>
      <c r="E87" s="1" t="n">
        <v>12237.7</v>
      </c>
      <c r="F87" s="5" t="n">
        <v>10855</v>
      </c>
    </row>
    <row r="88">
      <c r="A88" s="4" t="inlineStr">
        <is>
          <t>Profit/Loss For The Period</t>
        </is>
      </c>
      <c r="B88" s="1" t="n">
        <v>13192.6</v>
      </c>
      <c r="C88" s="1" t="n">
        <v>11135.4</v>
      </c>
      <c r="D88" s="1" t="n">
        <v>11372.2</v>
      </c>
      <c r="E88" s="1" t="n">
        <v>12237.7</v>
      </c>
      <c r="F88" s="5" t="n">
        <v>10855</v>
      </c>
    </row>
    <row r="89">
      <c r="A89" s="4" t="inlineStr">
        <is>
          <t>Minority Interest</t>
        </is>
      </c>
      <c r="B89" s="1" t="n">
        <v>-82.59999999999999</v>
      </c>
      <c r="C89" s="1" t="n">
        <v>-66.90000000000001</v>
      </c>
      <c r="D89" s="1" t="n">
        <v>-16.5</v>
      </c>
      <c r="E89" s="1" t="n">
        <v>-13.8</v>
      </c>
      <c r="F89" s="5" t="n">
        <v>-71.59999999999999</v>
      </c>
    </row>
    <row r="90">
      <c r="A90" s="4" t="inlineStr">
        <is>
          <t>Consolidated Profit/Loss After MI And Associates</t>
        </is>
      </c>
      <c r="B90" s="1" t="n">
        <v>13135.4</v>
      </c>
      <c r="C90" s="1" t="n">
        <v>11045.2</v>
      </c>
      <c r="D90" s="1" t="n">
        <v>11350</v>
      </c>
      <c r="E90" s="1" t="n">
        <v>12229.6</v>
      </c>
      <c r="F90" s="5" t="n">
        <v>10796.4</v>
      </c>
    </row>
    <row r="91">
      <c r="A91" s="14" t="inlineStr">
        <is>
          <t>OTHER ADDITIONAL INFORMATION</t>
        </is>
      </c>
      <c r="B91" s="2" t="n"/>
      <c r="C91" s="2" t="n"/>
      <c r="D91" s="2" t="n"/>
      <c r="E91" s="2" t="n"/>
      <c r="F91" s="15" t="n"/>
    </row>
    <row r="92">
      <c r="A92" s="14" t="inlineStr">
        <is>
          <t>EARNINGS PER SHARE</t>
        </is>
      </c>
      <c r="B92" s="2" t="n"/>
      <c r="C92" s="2" t="n"/>
      <c r="D92" s="2" t="n"/>
      <c r="E92" s="2" t="n"/>
      <c r="F92" s="15" t="n"/>
    </row>
    <row r="93">
      <c r="A93" s="4" t="inlineStr">
        <is>
          <t>Basic EPS (Rs.)</t>
        </is>
      </c>
      <c r="B93" s="1" t="n">
        <v>13</v>
      </c>
      <c r="C93" s="1" t="n">
        <v>21</v>
      </c>
      <c r="D93" s="1" t="n">
        <v>21</v>
      </c>
      <c r="E93" s="1" t="n">
        <v>22</v>
      </c>
      <c r="F93" s="5" t="n">
        <v>19</v>
      </c>
    </row>
    <row r="94">
      <c r="A94" s="4" t="inlineStr">
        <is>
          <t>Diluted EPS (Rs.)</t>
        </is>
      </c>
      <c r="B94" s="1" t="n">
        <v>13</v>
      </c>
      <c r="C94" s="1" t="n">
        <v>21</v>
      </c>
      <c r="D94" s="1" t="n">
        <v>21</v>
      </c>
      <c r="E94" s="1" t="n">
        <v>22</v>
      </c>
      <c r="F94" s="5" t="n">
        <v>19</v>
      </c>
    </row>
    <row r="95">
      <c r="A95" s="14" t="inlineStr">
        <is>
          <t>DIVIDEND AND DIVIDEND PERCENTAGE</t>
        </is>
      </c>
      <c r="B95" s="2" t="n"/>
      <c r="C95" s="2" t="n"/>
      <c r="D95" s="2" t="n"/>
      <c r="E95" s="2" t="n"/>
      <c r="F95" s="15" t="n"/>
    </row>
    <row r="96">
      <c r="A96" s="4" t="inlineStr">
        <is>
          <t>Equity Share Dividend</t>
        </is>
      </c>
      <c r="B96" s="1" t="n">
        <v>6275</v>
      </c>
      <c r="C96" s="1" t="n">
        <v>521.8</v>
      </c>
      <c r="D96" s="1" t="n">
        <v>547.7</v>
      </c>
      <c r="E96" s="1" t="n">
        <v>3280.4</v>
      </c>
      <c r="F96" s="5" t="n">
        <v>545.9</v>
      </c>
    </row>
    <row r="97" ht="15" customHeight="1" s="36" thickBot="1">
      <c r="A97" s="6" t="inlineStr">
        <is>
          <t>Tax On Dividend</t>
        </is>
      </c>
      <c r="B97" s="7" t="n">
        <v>0</v>
      </c>
      <c r="C97" s="7" t="n">
        <v>0</v>
      </c>
      <c r="D97" s="7" t="n">
        <v>0</v>
      </c>
      <c r="E97" s="7" t="n">
        <v>0</v>
      </c>
      <c r="F97" s="8" t="n">
        <v>0</v>
      </c>
    </row>
    <row r="98" ht="15" customHeight="1" s="36" thickBot="1"/>
    <row r="99">
      <c r="A99" s="9" t="inlineStr">
        <is>
          <t>CASH FLOW</t>
        </is>
      </c>
      <c r="B99" s="10" t="n"/>
      <c r="C99" s="10" t="n"/>
      <c r="D99" s="10" t="n"/>
      <c r="E99" s="10" t="n"/>
      <c r="F99" s="11" t="n"/>
    </row>
    <row r="100">
      <c r="A100" s="12" t="inlineStr">
        <is>
          <t>Particulars</t>
        </is>
      </c>
      <c r="B100" s="3" t="inlineStr">
        <is>
          <t>FY2025</t>
        </is>
      </c>
      <c r="C100" s="3" t="inlineStr">
        <is>
          <t>FY2024</t>
        </is>
      </c>
      <c r="D100" s="3" t="inlineStr">
        <is>
          <t>FY2023</t>
        </is>
      </c>
      <c r="E100" s="3" t="inlineStr">
        <is>
          <t>FY2022</t>
        </is>
      </c>
      <c r="F100" s="13" t="inlineStr">
        <is>
          <t>FY2021</t>
        </is>
      </c>
    </row>
    <row r="101">
      <c r="A101" s="4" t="inlineStr">
        <is>
          <t>Net Profit/Loss Before Extraordinary Items And Tax</t>
        </is>
      </c>
      <c r="B101" s="1" t="n">
        <v>13218</v>
      </c>
      <c r="C101" s="1" t="n">
        <v>11112.1</v>
      </c>
      <c r="D101" s="1" t="n">
        <v>11366.5</v>
      </c>
      <c r="E101" s="1" t="n">
        <v>12243.4</v>
      </c>
      <c r="F101" s="5" t="n">
        <v>10868</v>
      </c>
    </row>
    <row r="102">
      <c r="A102" s="4" t="inlineStr">
        <is>
          <t>Net CashFlow From Operating Activities</t>
        </is>
      </c>
      <c r="B102" s="1" t="n">
        <v>16942.6</v>
      </c>
      <c r="C102" s="1" t="n">
        <v>17621.6</v>
      </c>
      <c r="D102" s="1" t="n">
        <v>13060.1</v>
      </c>
      <c r="E102" s="1" t="n">
        <v>11079.7</v>
      </c>
      <c r="F102" s="5" t="n">
        <v>14755</v>
      </c>
    </row>
    <row r="103">
      <c r="A103" s="4" t="inlineStr">
        <is>
          <t>Net Cash Used In Investing Activities</t>
        </is>
      </c>
      <c r="B103" s="1" t="n">
        <v>-8073</v>
      </c>
      <c r="C103" s="1" t="n">
        <v>1168</v>
      </c>
      <c r="D103" s="1" t="n">
        <v>-8406.5</v>
      </c>
      <c r="E103" s="1" t="n">
        <v>-22449.5</v>
      </c>
      <c r="F103" s="5" t="n">
        <v>773.9</v>
      </c>
    </row>
    <row r="104">
      <c r="A104" s="4" t="inlineStr">
        <is>
          <t>Net Cash Used From Financing Activities</t>
        </is>
      </c>
      <c r="B104" s="1" t="n">
        <v>-6396.3</v>
      </c>
      <c r="C104" s="1" t="n">
        <v>-18256.7</v>
      </c>
      <c r="D104" s="1" t="n">
        <v>-6088.1</v>
      </c>
      <c r="E104" s="1" t="n">
        <v>4658.6</v>
      </c>
      <c r="F104" s="5" t="n">
        <v>-12884</v>
      </c>
    </row>
    <row r="105">
      <c r="A105" s="4" t="inlineStr">
        <is>
          <t>Foreign Exchange Gains / Losses</t>
        </is>
      </c>
      <c r="B105" s="1" t="n">
        <v>29</v>
      </c>
      <c r="C105" s="1" t="n">
        <v>-23.9</v>
      </c>
      <c r="D105" s="1" t="n">
        <v>237.3</v>
      </c>
      <c r="E105" s="1" t="n">
        <v>128.2</v>
      </c>
      <c r="F105" s="5" t="n">
        <v>-89</v>
      </c>
    </row>
    <row r="106">
      <c r="A106" s="4" t="inlineStr">
        <is>
          <t>Adjustments On Amalgamation Merger Demerger Others</t>
        </is>
      </c>
      <c r="B106" s="1" t="n">
        <v>0</v>
      </c>
      <c r="C106" s="1" t="n">
        <v>0</v>
      </c>
      <c r="D106" s="1" t="n">
        <v>0</v>
      </c>
      <c r="E106" s="1" t="n">
        <v>0</v>
      </c>
      <c r="F106" s="5" t="n">
        <v>0</v>
      </c>
    </row>
    <row r="107">
      <c r="A107" s="4" t="inlineStr">
        <is>
          <t>Net Inc/Dec In Cash And Cash Equivalents</t>
        </is>
      </c>
      <c r="B107" s="1" t="n">
        <v>2502.3</v>
      </c>
      <c r="C107" s="1" t="n">
        <v>509</v>
      </c>
      <c r="D107" s="1" t="n">
        <v>-1197.2</v>
      </c>
      <c r="E107" s="1" t="n">
        <v>-6583</v>
      </c>
      <c r="F107" s="5" t="n">
        <v>2555.9</v>
      </c>
    </row>
    <row r="108">
      <c r="A108" s="4" t="inlineStr">
        <is>
          <t>Cash And Cash Equivalents Begin of Year</t>
        </is>
      </c>
      <c r="B108" s="1" t="n">
        <v>9695.1</v>
      </c>
      <c r="C108" s="1" t="n">
        <v>9186.1</v>
      </c>
      <c r="D108" s="1" t="n">
        <v>10383.3</v>
      </c>
      <c r="E108" s="1" t="n">
        <v>16966.3</v>
      </c>
      <c r="F108" s="5" t="n">
        <v>14410.4</v>
      </c>
    </row>
    <row r="109" ht="15" customHeight="1" s="36" thickBot="1">
      <c r="A109" s="6" t="inlineStr">
        <is>
          <t>Cash And Cash Equivalents End Of Year</t>
        </is>
      </c>
      <c r="B109" s="7" t="n">
        <v>12197.4</v>
      </c>
      <c r="C109" s="7" t="n">
        <v>9695.1</v>
      </c>
      <c r="D109" s="7" t="n">
        <v>9186.1</v>
      </c>
      <c r="E109" s="7" t="n">
        <v>10383.3</v>
      </c>
      <c r="F109" s="8" t="n">
        <v>16966.3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1" topLeftCell="A9" workbookViewId="0">
      <selection activeCell="L30" sqref="L30"/>
    </sheetView>
  </sheetViews>
  <sheetFormatPr baseColWidth="8" defaultRowHeight="14.5"/>
  <cols>
    <col width="27.54296875" bestFit="1" customWidth="1" style="36" min="1" max="1"/>
    <col width="10.36328125" bestFit="1" customWidth="1" style="36" min="2" max="6"/>
    <col width="4" customWidth="1" style="36" min="7" max="7"/>
    <col width="12.36328125" bestFit="1" customWidth="1" style="36" min="8" max="12"/>
  </cols>
  <sheetData>
    <row r="1" ht="15" customHeight="1" s="36" thickBot="1">
      <c r="A1" s="46" t="inlineStr">
        <is>
          <t>Financial Ratios - HCL Technologies vs Wipro (FY2021-FY2025)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8" t="n"/>
    </row>
    <row r="2" ht="15" customHeight="1" s="36" thickBot="1"/>
    <row r="3" ht="15" customHeight="1" s="36" thickBot="1">
      <c r="B3" s="46" t="inlineStr">
        <is>
          <t>HCL Technologies</t>
        </is>
      </c>
      <c r="C3" s="47" t="n"/>
      <c r="D3" s="47" t="n"/>
      <c r="E3" s="47" t="n"/>
      <c r="F3" s="48" t="n"/>
      <c r="H3" s="46" t="inlineStr">
        <is>
          <t>Wipro</t>
        </is>
      </c>
      <c r="I3" s="47" t="n"/>
      <c r="J3" s="47" t="n"/>
      <c r="K3" s="47" t="n"/>
      <c r="L3" s="48" t="n"/>
    </row>
    <row r="4">
      <c r="A4" s="3" t="inlineStr">
        <is>
          <t>Ratio</t>
        </is>
      </c>
      <c r="B4" s="3" t="inlineStr">
        <is>
          <t>HCL FY2025</t>
        </is>
      </c>
      <c r="C4" s="3" t="inlineStr">
        <is>
          <t>HCL FY2024</t>
        </is>
      </c>
      <c r="D4" s="3" t="inlineStr">
        <is>
          <t>HCL FY2023</t>
        </is>
      </c>
      <c r="E4" s="3" t="inlineStr">
        <is>
          <t>HCL FY2022</t>
        </is>
      </c>
      <c r="F4" s="3" t="inlineStr">
        <is>
          <t>HCL FY2021</t>
        </is>
      </c>
      <c r="G4" s="3" t="n"/>
      <c r="H4" s="3" t="inlineStr">
        <is>
          <t>Wipro FY2025</t>
        </is>
      </c>
      <c r="I4" s="3" t="inlineStr">
        <is>
          <t>Wipro FY2024</t>
        </is>
      </c>
      <c r="J4" s="3" t="inlineStr">
        <is>
          <t>Wipro FY2023</t>
        </is>
      </c>
      <c r="K4" s="3" t="inlineStr">
        <is>
          <t>Wipro FY2022</t>
        </is>
      </c>
      <c r="L4" s="3" t="inlineStr">
        <is>
          <t>Wipro FY2021</t>
        </is>
      </c>
    </row>
    <row r="5">
      <c r="A5" s="29" t="inlineStr">
        <is>
          <t>LIQUIDITY RATIOS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5" t="n"/>
    </row>
    <row r="6">
      <c r="A6" s="4" t="inlineStr">
        <is>
          <t>Current Ratio</t>
        </is>
      </c>
      <c r="B6" s="28">
        <f>HCL_Data!B44/HCL_Data!B24</f>
        <v/>
      </c>
      <c r="C6" s="28">
        <f>HCL_Data!C44/HCL_Data!C24</f>
        <v/>
      </c>
      <c r="D6" s="28">
        <f>HCL_Data!D44/HCL_Data!D24</f>
        <v/>
      </c>
      <c r="E6" s="28">
        <f>HCL_Data!E44/HCL_Data!E24</f>
        <v/>
      </c>
      <c r="F6" s="28">
        <f>HCL_Data!F44/HCL_Data!F24</f>
        <v/>
      </c>
      <c r="G6" s="28" t="n"/>
      <c r="H6" s="28">
        <f>Wipro_Data!B44/Wipro_Data!B24</f>
        <v/>
      </c>
      <c r="I6" s="28">
        <f>Wipro_Data!C44/Wipro_Data!C24</f>
        <v/>
      </c>
      <c r="J6" s="28">
        <f>Wipro_Data!D44/Wipro_Data!D24</f>
        <v/>
      </c>
      <c r="K6" s="28">
        <f>Wipro_Data!E44/Wipro_Data!E24</f>
        <v/>
      </c>
      <c r="L6" s="30">
        <f>Wipro_Data!F44/Wipro_Data!F24</f>
        <v/>
      </c>
    </row>
    <row r="7">
      <c r="A7" s="4" t="inlineStr">
        <is>
          <t>Quick Ratio</t>
        </is>
      </c>
      <c r="B7" s="28">
        <f>(HCL_Data!B44-HCL_Data!B39)/HCL_Data!B24</f>
        <v/>
      </c>
      <c r="C7" s="28">
        <f>(HCL_Data!C44-HCL_Data!C39)/HCL_Data!C24</f>
        <v/>
      </c>
      <c r="D7" s="28">
        <f>(HCL_Data!D44-HCL_Data!D39)/HCL_Data!D24</f>
        <v/>
      </c>
      <c r="E7" s="28">
        <f>(HCL_Data!E44-HCL_Data!E39)/HCL_Data!E24</f>
        <v/>
      </c>
      <c r="F7" s="28">
        <f>(HCL_Data!F44-HCL_Data!F39)/HCL_Data!F24</f>
        <v/>
      </c>
      <c r="G7" s="28" t="n"/>
      <c r="H7" s="28">
        <f>(Wipro_Data!B44-Wipro_Data!B39)/Wipro_Data!B24</f>
        <v/>
      </c>
      <c r="I7" s="28">
        <f>(Wipro_Data!C44-Wipro_Data!C39)/Wipro_Data!C24</f>
        <v/>
      </c>
      <c r="J7" s="28">
        <f>(Wipro_Data!D44-Wipro_Data!D39)/Wipro_Data!D24</f>
        <v/>
      </c>
      <c r="K7" s="28">
        <f>(Wipro_Data!E44-Wipro_Data!E39)/Wipro_Data!E24</f>
        <v/>
      </c>
      <c r="L7" s="30">
        <f>(Wipro_Data!F44-Wipro_Data!F39)/Wipro_Data!F24</f>
        <v/>
      </c>
    </row>
    <row r="8">
      <c r="A8" s="4" t="inlineStr">
        <is>
          <t>Absolute Liquid Ratio</t>
        </is>
      </c>
      <c r="B8" s="28">
        <f>(HCL_Data!B41+HCL_Data!B38)/HCL_Data!B24</f>
        <v/>
      </c>
      <c r="C8" s="28">
        <f>(HCL_Data!C41+HCL_Data!C38)/HCL_Data!C24</f>
        <v/>
      </c>
      <c r="D8" s="28">
        <f>(HCL_Data!D41+HCL_Data!D38)/HCL_Data!D24</f>
        <v/>
      </c>
      <c r="E8" s="28">
        <f>(HCL_Data!E41+HCL_Data!E38)/HCL_Data!E24</f>
        <v/>
      </c>
      <c r="F8" s="28">
        <f>(HCL_Data!F41+HCL_Data!F38)/HCL_Data!F24</f>
        <v/>
      </c>
      <c r="G8" s="28" t="n"/>
      <c r="H8" s="28">
        <f>(Wipro_Data!B41+Wipro_Data!B38)/Wipro_Data!B24</f>
        <v/>
      </c>
      <c r="I8" s="28">
        <f>(Wipro_Data!C41+Wipro_Data!C38)/Wipro_Data!C24</f>
        <v/>
      </c>
      <c r="J8" s="28">
        <f>(Wipro_Data!D41+Wipro_Data!D38)/Wipro_Data!D24</f>
        <v/>
      </c>
      <c r="K8" s="28">
        <f>(Wipro_Data!E41+Wipro_Data!E38)/Wipro_Data!E24</f>
        <v/>
      </c>
      <c r="L8" s="30">
        <f>(Wipro_Data!F41+Wipro_Data!F38)/Wipro_Data!F24</f>
        <v/>
      </c>
    </row>
    <row r="9">
      <c r="A9" s="29" t="inlineStr">
        <is>
          <t>PROFITABILITY RATIOS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5" t="n"/>
    </row>
    <row r="10">
      <c r="A10" s="4" t="inlineStr">
        <is>
          <t>Gross Profit Ratio (%)</t>
        </is>
      </c>
      <c r="B10" s="28">
        <f>(HCL_Data!B63-(HCL_Data!B69+HCL_Data!B70+HCL_Data!B71))/HCL_Data!B63*100</f>
        <v/>
      </c>
      <c r="C10" s="28">
        <f>(HCL_Data!C63-(HCL_Data!C69+HCL_Data!C70+HCL_Data!C71))/HCL_Data!C63*100</f>
        <v/>
      </c>
      <c r="D10" s="28">
        <f>(HCL_Data!D63-(HCL_Data!D69+HCL_Data!D70+HCL_Data!D71))/HCL_Data!D63*100</f>
        <v/>
      </c>
      <c r="E10" s="28">
        <f>(HCL_Data!E63-(HCL_Data!E69+HCL_Data!E70+HCL_Data!E71))/HCL_Data!E63*100</f>
        <v/>
      </c>
      <c r="F10" s="28">
        <f>(HCL_Data!F63-(HCL_Data!F69+HCL_Data!F70+HCL_Data!F71))/HCL_Data!F63*100</f>
        <v/>
      </c>
      <c r="G10" s="28" t="n"/>
      <c r="H10" s="28">
        <f>(Wipro_Data!B63-(Wipro_Data!B69+Wipro_Data!B70+Wipro_Data!B71))/Wipro_Data!B63*100</f>
        <v/>
      </c>
      <c r="I10" s="28">
        <f>(Wipro_Data!C63-(Wipro_Data!C69+Wipro_Data!C70+Wipro_Data!C71))/Wipro_Data!C63*100</f>
        <v/>
      </c>
      <c r="J10" s="28">
        <f>(Wipro_Data!D63-(Wipro_Data!D69+Wipro_Data!D70+Wipro_Data!D71))/Wipro_Data!D63*100</f>
        <v/>
      </c>
      <c r="K10" s="28">
        <f>(Wipro_Data!E63-(Wipro_Data!E69+Wipro_Data!E70+Wipro_Data!E71))/Wipro_Data!E63*100</f>
        <v/>
      </c>
      <c r="L10" s="30">
        <f>(Wipro_Data!F63-(Wipro_Data!F69+Wipro_Data!F70+Wipro_Data!F71))/Wipro_Data!F63*100</f>
        <v/>
      </c>
    </row>
    <row r="11">
      <c r="A11" s="4" t="inlineStr">
        <is>
          <t>Operating Profit Ratio (%)</t>
        </is>
      </c>
      <c r="B11" s="28">
        <f>(HCL_Data!B79+HCL_Data!B73)/HCL_Data!B63*100</f>
        <v/>
      </c>
      <c r="C11" s="28">
        <f>(HCL_Data!C79+HCL_Data!C73)/HCL_Data!C63*100</f>
        <v/>
      </c>
      <c r="D11" s="28">
        <f>(HCL_Data!D79+HCL_Data!D73)/HCL_Data!D63*100</f>
        <v/>
      </c>
      <c r="E11" s="28">
        <f>(HCL_Data!E79+HCL_Data!E73)/HCL_Data!E63*100</f>
        <v/>
      </c>
      <c r="F11" s="28">
        <f>(HCL_Data!F79+HCL_Data!F73)/HCL_Data!F63*100</f>
        <v/>
      </c>
      <c r="G11" s="28" t="n"/>
      <c r="H11" s="28">
        <f>(Wipro_Data!B79+Wipro_Data!B73)/Wipro_Data!B63*100</f>
        <v/>
      </c>
      <c r="I11" s="28">
        <f>(Wipro_Data!C79+Wipro_Data!C73)/Wipro_Data!C63*100</f>
        <v/>
      </c>
      <c r="J11" s="28">
        <f>(Wipro_Data!D79+Wipro_Data!D73)/Wipro_Data!D63*100</f>
        <v/>
      </c>
      <c r="K11" s="28">
        <f>(Wipro_Data!E79+Wipro_Data!E73)/Wipro_Data!E63*100</f>
        <v/>
      </c>
      <c r="L11" s="30">
        <f>(Wipro_Data!F79+Wipro_Data!F73)/Wipro_Data!F63*100</f>
        <v/>
      </c>
    </row>
    <row r="12">
      <c r="A12" s="4" t="inlineStr">
        <is>
          <t>Net Profit Ratio (%)</t>
        </is>
      </c>
      <c r="B12" s="28">
        <f>HCL_Data!B88/HCL_Data!B63*100</f>
        <v/>
      </c>
      <c r="C12" s="28">
        <f>HCL_Data!C88/HCL_Data!C63*100</f>
        <v/>
      </c>
      <c r="D12" s="28">
        <f>HCL_Data!D88/HCL_Data!D63*100</f>
        <v/>
      </c>
      <c r="E12" s="28">
        <f>HCL_Data!E88/HCL_Data!E63*100</f>
        <v/>
      </c>
      <c r="F12" s="28">
        <f>HCL_Data!F88/HCL_Data!F63*100</f>
        <v/>
      </c>
      <c r="G12" s="28" t="n"/>
      <c r="H12" s="28">
        <f>Wipro_Data!B88/Wipro_Data!B63*100</f>
        <v/>
      </c>
      <c r="I12" s="28">
        <f>Wipro_Data!C88/Wipro_Data!C63*100</f>
        <v/>
      </c>
      <c r="J12" s="28">
        <f>Wipro_Data!D88/Wipro_Data!D63*100</f>
        <v/>
      </c>
      <c r="K12" s="28">
        <f>Wipro_Data!E88/Wipro_Data!E63*100</f>
        <v/>
      </c>
      <c r="L12" s="30">
        <f>Wipro_Data!F88/Wipro_Data!F63*100</f>
        <v/>
      </c>
    </row>
    <row r="13">
      <c r="A13" s="4" t="inlineStr">
        <is>
          <t>Return on Equity (%)</t>
        </is>
      </c>
      <c r="B13" s="28">
        <f>HCL_Data!B88/((HCL_Data!B11+HCL_Data!C11)/2)*100</f>
        <v/>
      </c>
      <c r="C13" s="28">
        <f>HCL_Data!C88/((HCL_Data!C11+HCL_Data!D11)/2)*100</f>
        <v/>
      </c>
      <c r="D13" s="28">
        <f>HCL_Data!D88/((HCL_Data!D11+HCL_Data!E11)/2)*100</f>
        <v/>
      </c>
      <c r="E13" s="28">
        <f>HCL_Data!E88/((HCL_Data!E11+HCL_Data!F11)/2)*100</f>
        <v/>
      </c>
      <c r="F13" s="28">
        <f>HCL_Data!F88/((HCL_Data!F11+HCL_Data!F11)/2)*100</f>
        <v/>
      </c>
      <c r="G13" s="28" t="n"/>
      <c r="H13" s="28">
        <f>Wipro_Data!B88/((Wipro_Data!B11+Wipro_Data!C11)/2)*100</f>
        <v/>
      </c>
      <c r="I13" s="28">
        <f>Wipro_Data!C88/((Wipro_Data!C11+Wipro_Data!D11)/2)*100</f>
        <v/>
      </c>
      <c r="J13" s="28">
        <f>Wipro_Data!D88/((Wipro_Data!D11+Wipro_Data!E11)/2)*100</f>
        <v/>
      </c>
      <c r="K13" s="28">
        <f>Wipro_Data!E88/((Wipro_Data!E11+Wipro_Data!F11)/2)*100</f>
        <v/>
      </c>
      <c r="L13" s="30">
        <f>Wipro_Data!F88/((Wipro_Data!F11+Wipro_Data!F11)/2)*100</f>
        <v/>
      </c>
    </row>
    <row r="14">
      <c r="A14" s="4" t="inlineStr">
        <is>
          <t>Return on Capital Employed (%)</t>
        </is>
      </c>
      <c r="B14" s="28">
        <f>(HCL_Data!B79+HCL_Data!B73)/(HCL_Data!B45-HCL_Data!B24)*100</f>
        <v/>
      </c>
      <c r="C14" s="28">
        <f>(HCL_Data!C79+HCL_Data!C73)/(HCL_Data!C45-HCL_Data!C24)*100</f>
        <v/>
      </c>
      <c r="D14" s="28">
        <f>(HCL_Data!D79+HCL_Data!D73)/(HCL_Data!D45-HCL_Data!D24)*100</f>
        <v/>
      </c>
      <c r="E14" s="28">
        <f>(HCL_Data!E79+HCL_Data!E73)/(HCL_Data!E45-HCL_Data!E24)*100</f>
        <v/>
      </c>
      <c r="F14" s="28">
        <f>(HCL_Data!F79+HCL_Data!F73)/(HCL_Data!F45-HCL_Data!F24)*100</f>
        <v/>
      </c>
      <c r="G14" s="28" t="n"/>
      <c r="H14" s="28">
        <f>(Wipro_Data!B79+Wipro_Data!B73)/(Wipro_Data!B45-Wipro_Data!B24)*100</f>
        <v/>
      </c>
      <c r="I14" s="28">
        <f>(Wipro_Data!C79+Wipro_Data!C73)/(Wipro_Data!C45-Wipro_Data!C24)*100</f>
        <v/>
      </c>
      <c r="J14" s="28">
        <f>(Wipro_Data!D79+Wipro_Data!D73)/(Wipro_Data!D45-Wipro_Data!D24)*100</f>
        <v/>
      </c>
      <c r="K14" s="28">
        <f>(Wipro_Data!E79+Wipro_Data!E73)/(Wipro_Data!E45-Wipro_Data!E24)*100</f>
        <v/>
      </c>
      <c r="L14" s="30">
        <f>(Wipro_Data!F79+Wipro_Data!F73)/(Wipro_Data!F45-Wipro_Data!F24)*100</f>
        <v/>
      </c>
    </row>
    <row r="15">
      <c r="A15" s="4" t="inlineStr">
        <is>
          <t>Earnings per Share (Rs)</t>
        </is>
      </c>
      <c r="B15" s="28">
        <f>HCL_Data!B90/(HCL_Data!B7/2)</f>
        <v/>
      </c>
      <c r="C15" s="28">
        <f>HCL_Data!C90/(HCL_Data!C7/2)</f>
        <v/>
      </c>
      <c r="D15" s="28">
        <f>HCL_Data!D90/(HCL_Data!D7/2)</f>
        <v/>
      </c>
      <c r="E15" s="28">
        <f>HCL_Data!E90/(HCL_Data!E7/2)</f>
        <v/>
      </c>
      <c r="F15" s="28">
        <f>HCL_Data!F90/(HCL_Data!F7/2)</f>
        <v/>
      </c>
      <c r="G15" s="28" t="n"/>
      <c r="H15" s="28">
        <f>Wipro_Data!B90/(Wipro_Data!B7/2)</f>
        <v/>
      </c>
      <c r="I15" s="28">
        <f>Wipro_Data!C90/(Wipro_Data!C7/2)</f>
        <v/>
      </c>
      <c r="J15" s="28">
        <f>Wipro_Data!D90/(Wipro_Data!D7/2)</f>
        <v/>
      </c>
      <c r="K15" s="28">
        <f>Wipro_Data!E90/(Wipro_Data!E7/2)</f>
        <v/>
      </c>
      <c r="L15" s="30">
        <f>Wipro_Data!F90/(Wipro_Data!F7/2)</f>
        <v/>
      </c>
    </row>
    <row r="16">
      <c r="A16" s="29" t="inlineStr">
        <is>
          <t>SOLVENCY RATIOS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5" t="n"/>
    </row>
    <row r="17">
      <c r="A17" s="4" t="inlineStr">
        <is>
          <t>Debt-Equity Ratio</t>
        </is>
      </c>
      <c r="B17" s="28">
        <f>(HCL_Data!B14+HCL_Data!B20)/HCL_Data!B11</f>
        <v/>
      </c>
      <c r="C17" s="28">
        <f>(HCL_Data!C14+HCL_Data!C20)/HCL_Data!C11</f>
        <v/>
      </c>
      <c r="D17" s="28">
        <f>(HCL_Data!D14+HCL_Data!D20)/HCL_Data!D11</f>
        <v/>
      </c>
      <c r="E17" s="28">
        <f>(HCL_Data!E14+HCL_Data!E20)/HCL_Data!E11</f>
        <v/>
      </c>
      <c r="F17" s="28">
        <f>(HCL_Data!F14+HCL_Data!F20)/HCL_Data!F11</f>
        <v/>
      </c>
      <c r="G17" s="28" t="n"/>
      <c r="H17" s="28">
        <f>(Wipro_Data!B14+Wipro_Data!B20)/Wipro_Data!B11</f>
        <v/>
      </c>
      <c r="I17" s="28">
        <f>(Wipro_Data!C14+Wipro_Data!C20)/Wipro_Data!C11</f>
        <v/>
      </c>
      <c r="J17" s="28">
        <f>(Wipro_Data!D14+Wipro_Data!D20)/Wipro_Data!D11</f>
        <v/>
      </c>
      <c r="K17" s="28">
        <f>(Wipro_Data!E14+Wipro_Data!E20)/Wipro_Data!E11</f>
        <v/>
      </c>
      <c r="L17" s="30">
        <f>(Wipro_Data!F14+Wipro_Data!F20)/Wipro_Data!F11</f>
        <v/>
      </c>
    </row>
    <row r="18">
      <c r="A18" s="4" t="inlineStr">
        <is>
          <t>Interest Coverage Ratio</t>
        </is>
      </c>
      <c r="B18" s="28">
        <f>(HCL_Data!B79+HCL_Data!B73)/HCL_Data!B73</f>
        <v/>
      </c>
      <c r="C18" s="28">
        <f>(HCL_Data!C79+HCL_Data!C73)/HCL_Data!C73</f>
        <v/>
      </c>
      <c r="D18" s="28">
        <f>(HCL_Data!D79+HCL_Data!D73)/HCL_Data!D73</f>
        <v/>
      </c>
      <c r="E18" s="28">
        <f>(HCL_Data!E79+HCL_Data!E73)/HCL_Data!E73</f>
        <v/>
      </c>
      <c r="F18" s="28">
        <f>(HCL_Data!F79+HCL_Data!F73)/HCL_Data!F73</f>
        <v/>
      </c>
      <c r="G18" s="28" t="n"/>
      <c r="H18" s="28">
        <f>(Wipro_Data!B79+Wipro_Data!B73)/Wipro_Data!B73</f>
        <v/>
      </c>
      <c r="I18" s="28">
        <f>(Wipro_Data!C79+Wipro_Data!C73)/Wipro_Data!C73</f>
        <v/>
      </c>
      <c r="J18" s="28">
        <f>(Wipro_Data!D79+Wipro_Data!D73)/Wipro_Data!D73</f>
        <v/>
      </c>
      <c r="K18" s="28">
        <f>(Wipro_Data!E79+Wipro_Data!E73)/Wipro_Data!E73</f>
        <v/>
      </c>
      <c r="L18" s="30">
        <f>(Wipro_Data!F79+Wipro_Data!F73)/Wipro_Data!F73</f>
        <v/>
      </c>
    </row>
    <row r="19">
      <c r="A19" s="29" t="inlineStr">
        <is>
          <t>TURNOVER RATIOS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5" t="n"/>
    </row>
    <row r="20">
      <c r="A20" s="4" t="inlineStr">
        <is>
          <t>Debtors Turnover Ratio</t>
        </is>
      </c>
      <c r="B20" s="28">
        <f>HCL_Data!B63/((HCL_Data!B40+HCL_Data!C40)/2)</f>
        <v/>
      </c>
      <c r="C20" s="28">
        <f>HCL_Data!C63/((HCL_Data!C40+HCL_Data!D40)/2)</f>
        <v/>
      </c>
      <c r="D20" s="28">
        <f>HCL_Data!D63/((HCL_Data!D40+HCL_Data!E40)/2)</f>
        <v/>
      </c>
      <c r="E20" s="28">
        <f>HCL_Data!E63/((HCL_Data!E40+HCL_Data!F40)/2)</f>
        <v/>
      </c>
      <c r="F20" s="28">
        <f>HCL_Data!F63/((HCL_Data!F40+HCL_Data!F40)/2)</f>
        <v/>
      </c>
      <c r="G20" s="28" t="n"/>
      <c r="H20" s="28">
        <f>Wipro_Data!B63/((Wipro_Data!B40+Wipro_Data!C40)/2)</f>
        <v/>
      </c>
      <c r="I20" s="28">
        <f>Wipro_Data!C63/((Wipro_Data!C40+Wipro_Data!D40)/2)</f>
        <v/>
      </c>
      <c r="J20" s="28">
        <f>Wipro_Data!D63/((Wipro_Data!D40+Wipro_Data!E40)/2)</f>
        <v/>
      </c>
      <c r="K20" s="28">
        <f>Wipro_Data!E63/((Wipro_Data!E40+Wipro_Data!F40)/2)</f>
        <v/>
      </c>
      <c r="L20" s="30">
        <f>Wipro_Data!F63/((Wipro_Data!F40+Wipro_Data!F40)/2)</f>
        <v/>
      </c>
    </row>
    <row r="21">
      <c r="A21" s="4" t="inlineStr">
        <is>
          <t>Avg Collection Period (days)</t>
        </is>
      </c>
      <c r="B21" s="28">
        <f>365/(HCL_Data!B63/((HCL_Data!B40+HCL_Data!C40)/2))</f>
        <v/>
      </c>
      <c r="C21" s="28">
        <f>365/(HCL_Data!C63/((HCL_Data!C40+HCL_Data!D40)/2))</f>
        <v/>
      </c>
      <c r="D21" s="28">
        <f>365/(HCL_Data!D63/((HCL_Data!D40+HCL_Data!E40)/2))</f>
        <v/>
      </c>
      <c r="E21" s="28">
        <f>365/(HCL_Data!E63/((HCL_Data!E40+HCL_Data!F40)/2))</f>
        <v/>
      </c>
      <c r="F21" s="28">
        <f>365/(HCL_Data!F63/((HCL_Data!F40+HCL_Data!F40)/2))</f>
        <v/>
      </c>
      <c r="G21" s="28" t="n"/>
      <c r="H21" s="28">
        <f>365/(Wipro_Data!B63/((Wipro_Data!B40+Wipro_Data!C40)/2))</f>
        <v/>
      </c>
      <c r="I21" s="28">
        <f>365/(Wipro_Data!C63/((Wipro_Data!C40+Wipro_Data!D40)/2))</f>
        <v/>
      </c>
      <c r="J21" s="28">
        <f>365/(Wipro_Data!D63/((Wipro_Data!D40+Wipro_Data!E40)/2))</f>
        <v/>
      </c>
      <c r="K21" s="28">
        <f>365/(Wipro_Data!E63/((Wipro_Data!E40+Wipro_Data!F40)/2))</f>
        <v/>
      </c>
      <c r="L21" s="30">
        <f>365/(Wipro_Data!F63/((Wipro_Data!F40+Wipro_Data!F40)/2))</f>
        <v/>
      </c>
    </row>
    <row r="22">
      <c r="A22" s="4" t="inlineStr">
        <is>
          <t>Creditors Turnover Ratio</t>
        </is>
      </c>
      <c r="B22" s="28">
        <f>(HCL_Data!B69+HCL_Data!B70+HCL_Data!B75)/((HCL_Data!B21+HCL_Data!C21)/2)</f>
        <v/>
      </c>
      <c r="C22" s="28">
        <f>(HCL_Data!C69+HCL_Data!C70+HCL_Data!C75)/((HCL_Data!C21+HCL_Data!D21)/2)</f>
        <v/>
      </c>
      <c r="D22" s="28">
        <f>(HCL_Data!D69+HCL_Data!D70+HCL_Data!D75)/((HCL_Data!D21+HCL_Data!E21)/2)</f>
        <v/>
      </c>
      <c r="E22" s="28">
        <f>(HCL_Data!E69+HCL_Data!E70+HCL_Data!E75)/((HCL_Data!E21+HCL_Data!F21)/2)</f>
        <v/>
      </c>
      <c r="F22" s="28">
        <f>(HCL_Data!F69+HCL_Data!F70+HCL_Data!F75)/((HCL_Data!F21+HCL_Data!F21)/2)</f>
        <v/>
      </c>
      <c r="G22" s="28" t="n"/>
      <c r="H22" s="28">
        <f>(Wipro_Data!B69+Wipro_Data!B70+Wipro_Data!B75)/((Wipro_Data!B21+Wipro_Data!C21)/2)</f>
        <v/>
      </c>
      <c r="I22" s="28">
        <f>(Wipro_Data!C69+Wipro_Data!C70+Wipro_Data!C75)/((Wipro_Data!C21+Wipro_Data!D21)/2)</f>
        <v/>
      </c>
      <c r="J22" s="28">
        <f>(Wipro_Data!D69+Wipro_Data!D70+Wipro_Data!D75)/((Wipro_Data!D21+Wipro_Data!E21)/2)</f>
        <v/>
      </c>
      <c r="K22" s="28">
        <f>(Wipro_Data!E69+Wipro_Data!E70+Wipro_Data!E75)/((Wipro_Data!E21+Wipro_Data!F21)/2)</f>
        <v/>
      </c>
      <c r="L22" s="30">
        <f>(Wipro_Data!F69+Wipro_Data!F70+Wipro_Data!F75)/((Wipro_Data!F21+Wipro_Data!F21)/2)</f>
        <v/>
      </c>
    </row>
    <row r="23">
      <c r="A23" s="4" t="inlineStr">
        <is>
          <t>Avg Payment Period (days)</t>
        </is>
      </c>
      <c r="B23" s="28">
        <f>365/((HCL_Data!B69+HCL_Data!B70+HCL_Data!B75)/((HCL_Data!B21+HCL_Data!C21)/2))</f>
        <v/>
      </c>
      <c r="C23" s="28">
        <f>365/((HCL_Data!C69+HCL_Data!C70+HCL_Data!C75)/((HCL_Data!C21+HCL_Data!D21)/2))</f>
        <v/>
      </c>
      <c r="D23" s="28">
        <f>365/((HCL_Data!D69+HCL_Data!D70+HCL_Data!D75)/((HCL_Data!D21+HCL_Data!E21)/2))</f>
        <v/>
      </c>
      <c r="E23" s="28">
        <f>365/((HCL_Data!E69+HCL_Data!E70+HCL_Data!E75)/((HCL_Data!E21+HCL_Data!F21)/2))</f>
        <v/>
      </c>
      <c r="F23" s="28">
        <f>365/((HCL_Data!F69+HCL_Data!F70+HCL_Data!F75)/((HCL_Data!F21+HCL_Data!F21)/2))</f>
        <v/>
      </c>
      <c r="G23" s="28" t="n"/>
      <c r="H23" s="28">
        <f>365/((Wipro_Data!B69+Wipro_Data!B70+Wipro_Data!B75)/((Wipro_Data!B21+Wipro_Data!C21)/2))</f>
        <v/>
      </c>
      <c r="I23" s="28">
        <f>365/((Wipro_Data!C69+Wipro_Data!C70+Wipro_Data!C75)/((Wipro_Data!C21+Wipro_Data!D21)/2))</f>
        <v/>
      </c>
      <c r="J23" s="28">
        <f>365/((Wipro_Data!D69+Wipro_Data!D70+Wipro_Data!D75)/((Wipro_Data!D21+Wipro_Data!E21)/2))</f>
        <v/>
      </c>
      <c r="K23" s="28">
        <f>365/((Wipro_Data!E69+Wipro_Data!E70+Wipro_Data!E75)/((Wipro_Data!E21+Wipro_Data!F21)/2))</f>
        <v/>
      </c>
      <c r="L23" s="30">
        <f>365/((Wipro_Data!F69+Wipro_Data!F70+Wipro_Data!F75)/((Wipro_Data!F21+Wipro_Data!F21)/2))</f>
        <v/>
      </c>
    </row>
    <row r="24">
      <c r="A24" s="4" t="inlineStr">
        <is>
          <t>Inventory Turnover Ratio</t>
        </is>
      </c>
      <c r="B24" s="28">
        <f>(HCL_Data!B69+HCL_Data!B70+HCL_Data!B71)/((HCL_Data!B39+HCL_Data!C39)/2)</f>
        <v/>
      </c>
      <c r="C24" s="28">
        <f>(HCL_Data!C69+HCL_Data!C70+HCL_Data!C71)/((HCL_Data!C39+HCL_Data!D39)/2)</f>
        <v/>
      </c>
      <c r="D24" s="28">
        <f>(HCL_Data!D69+HCL_Data!D70+HCL_Data!D71)/((HCL_Data!D39+HCL_Data!E39)/2)</f>
        <v/>
      </c>
      <c r="E24" s="28">
        <f>(HCL_Data!E69+HCL_Data!E70+HCL_Data!E71)/((HCL_Data!E39+HCL_Data!F39)/2)</f>
        <v/>
      </c>
      <c r="F24" s="28">
        <f>(HCL_Data!F69+HCL_Data!F70+HCL_Data!F71)/((HCL_Data!F39+HCL_Data!F39)/2)</f>
        <v/>
      </c>
      <c r="G24" s="28" t="n"/>
      <c r="H24" s="28">
        <f>(Wipro_Data!B69+Wipro_Data!B70+Wipro_Data!B71)/((Wipro_Data!B39+Wipro_Data!C39)/2)</f>
        <v/>
      </c>
      <c r="I24" s="28">
        <f>(Wipro_Data!C69+Wipro_Data!C70+Wipro_Data!C71)/((Wipro_Data!C39+Wipro_Data!D39)/2)</f>
        <v/>
      </c>
      <c r="J24" s="28">
        <f>(Wipro_Data!D69+Wipro_Data!D70+Wipro_Data!D71)/((Wipro_Data!D39+Wipro_Data!E39)/2)</f>
        <v/>
      </c>
      <c r="K24" s="28">
        <f>(Wipro_Data!E69+Wipro_Data!E70+Wipro_Data!E71)/((Wipro_Data!E39+Wipro_Data!F39)/2)</f>
        <v/>
      </c>
      <c r="L24" s="30">
        <f>(Wipro_Data!F69+Wipro_Data!F70+Wipro_Data!F71)/((Wipro_Data!F39+Wipro_Data!F39)/2)</f>
        <v/>
      </c>
    </row>
    <row r="25">
      <c r="A25" s="4" t="inlineStr">
        <is>
          <t>Inventory Holding Days</t>
        </is>
      </c>
      <c r="B25" s="28">
        <f>365/((HCL_Data!B69+HCL_Data!B70+HCL_Data!B71)/((HCL_Data!B39+HCL_Data!C39)/2))</f>
        <v/>
      </c>
      <c r="C25" s="28">
        <f>365/((HCL_Data!C69+HCL_Data!C70+HCL_Data!C71)/((HCL_Data!C39+HCL_Data!D39)/2))</f>
        <v/>
      </c>
      <c r="D25" s="28">
        <f>365/((HCL_Data!D69+HCL_Data!D70+HCL_Data!D71)/((HCL_Data!D39+HCL_Data!E39)/2))</f>
        <v/>
      </c>
      <c r="E25" s="28">
        <f>365/((HCL_Data!E69+HCL_Data!E70+HCL_Data!E71)/((HCL_Data!E39+HCL_Data!F39)/2))</f>
        <v/>
      </c>
      <c r="F25" s="28">
        <f>365/((HCL_Data!F69+HCL_Data!F70+HCL_Data!F71)/((HCL_Data!F39+HCL_Data!F39)/2))</f>
        <v/>
      </c>
      <c r="G25" s="28" t="n"/>
      <c r="H25" s="28">
        <f>365/((Wipro_Data!B69+Wipro_Data!B70+Wipro_Data!B71)/((Wipro_Data!B39+Wipro_Data!C39)/2))</f>
        <v/>
      </c>
      <c r="I25" s="28">
        <f>365/((Wipro_Data!C69+Wipro_Data!C70+Wipro_Data!C71)/((Wipro_Data!C39+Wipro_Data!D39)/2))</f>
        <v/>
      </c>
      <c r="J25" s="28">
        <f>365/((Wipro_Data!D69+Wipro_Data!D70+Wipro_Data!D71)/((Wipro_Data!D39+Wipro_Data!E39)/2))</f>
        <v/>
      </c>
      <c r="K25" s="28">
        <f>365/((Wipro_Data!E69+Wipro_Data!E70+Wipro_Data!E71)/((Wipro_Data!E39+Wipro_Data!F39)/2))</f>
        <v/>
      </c>
      <c r="L25" s="30">
        <f>365/((Wipro_Data!F69+Wipro_Data!F70+Wipro_Data!F71)/((Wipro_Data!F39+Wipro_Data!F39)/2))</f>
        <v/>
      </c>
    </row>
    <row r="26">
      <c r="A26" s="4" t="inlineStr">
        <is>
          <t>Fixed Asset Turnover</t>
        </is>
      </c>
      <c r="B26" s="28">
        <f>HCL_Data!B63/((HCL_Data!B31+HCL_Data!C31)/2)</f>
        <v/>
      </c>
      <c r="C26" s="28">
        <f>HCL_Data!C63/((HCL_Data!C31+HCL_Data!D31)/2)</f>
        <v/>
      </c>
      <c r="D26" s="28">
        <f>HCL_Data!D63/((HCL_Data!D31+HCL_Data!E31)/2)</f>
        <v/>
      </c>
      <c r="E26" s="28">
        <f>HCL_Data!E63/((HCL_Data!E31+HCL_Data!F31)/2)</f>
        <v/>
      </c>
      <c r="F26" s="28">
        <f>HCL_Data!F63/((HCL_Data!F31+HCL_Data!F31)/2)</f>
        <v/>
      </c>
      <c r="G26" s="28" t="n"/>
      <c r="H26" s="28">
        <f>Wipro_Data!B63/((Wipro_Data!B31+Wipro_Data!C31)/2)</f>
        <v/>
      </c>
      <c r="I26" s="28">
        <f>Wipro_Data!C63/((Wipro_Data!C31+Wipro_Data!D31)/2)</f>
        <v/>
      </c>
      <c r="J26" s="28">
        <f>Wipro_Data!D63/((Wipro_Data!D31+Wipro_Data!E31)/2)</f>
        <v/>
      </c>
      <c r="K26" s="28">
        <f>Wipro_Data!E63/((Wipro_Data!E31+Wipro_Data!F31)/2)</f>
        <v/>
      </c>
      <c r="L26" s="30">
        <f>Wipro_Data!F63/((Wipro_Data!F31+Wipro_Data!F31)/2)</f>
        <v/>
      </c>
    </row>
    <row r="27">
      <c r="A27" s="29" t="inlineStr">
        <is>
          <t>VALUATION RATIOS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5" t="n"/>
    </row>
    <row r="28">
      <c r="A28" s="42" t="inlineStr">
        <is>
          <t>Price/BV (X) from Money Control</t>
        </is>
      </c>
      <c r="B28" s="40" t="n">
        <v>6.2</v>
      </c>
      <c r="C28" s="40" t="n">
        <v>6.14</v>
      </c>
      <c r="D28" s="40" t="n">
        <v>4.51</v>
      </c>
      <c r="E28" s="40" t="n">
        <v>5.1</v>
      </c>
      <c r="F28" s="40" t="n">
        <v>4.46</v>
      </c>
      <c r="G28" s="40" t="n"/>
      <c r="H28" s="40" t="n">
        <v>3.33</v>
      </c>
      <c r="I28" s="40" t="n">
        <v>3.37</v>
      </c>
      <c r="J28" s="40" t="n">
        <v>2.58</v>
      </c>
      <c r="K28" s="40" t="n">
        <v>4.96</v>
      </c>
      <c r="L28" s="41" t="n">
        <v>4.13</v>
      </c>
    </row>
    <row r="29" ht="29" customHeight="1" s="36">
      <c r="A29" s="43" t="inlineStr">
        <is>
          <t>Book Value/Share (Rs.) from Money Control</t>
        </is>
      </c>
      <c r="B29" s="40" t="n">
        <v>256.56</v>
      </c>
      <c r="C29" s="40" t="n">
        <v>251.46</v>
      </c>
      <c r="D29" s="40" t="n">
        <v>240.88</v>
      </c>
      <c r="E29" s="40" t="n">
        <v>228.38</v>
      </c>
      <c r="F29" s="40" t="n">
        <v>221.3</v>
      </c>
      <c r="G29" s="40" t="n"/>
      <c r="H29" s="40" t="n">
        <v>78.65000000000001</v>
      </c>
      <c r="I29" s="40" t="n">
        <v>142.65</v>
      </c>
      <c r="J29" s="40" t="n">
        <v>141.63</v>
      </c>
      <c r="K29" s="40" t="n">
        <v>119.4</v>
      </c>
      <c r="L29" s="41" t="n">
        <v>100.48</v>
      </c>
    </row>
    <row r="30" ht="15" customHeight="1" s="36" thickBot="1">
      <c r="A30" s="6" t="inlineStr">
        <is>
          <t>P/E Ratio</t>
        </is>
      </c>
      <c r="B30" s="31">
        <f>(B28*B29)/B15</f>
        <v/>
      </c>
      <c r="C30" s="31">
        <f>(C28*C29)/C15</f>
        <v/>
      </c>
      <c r="D30" s="31">
        <f>(D28*D29)/D15</f>
        <v/>
      </c>
      <c r="E30" s="31">
        <f>(E28*E29)/E15</f>
        <v/>
      </c>
      <c r="F30" s="31">
        <f>(F28*F29)/F15</f>
        <v/>
      </c>
      <c r="G30" s="31" t="n"/>
      <c r="H30" s="31">
        <f>(H28*H29)/H15</f>
        <v/>
      </c>
      <c r="I30" s="31">
        <f>(I28*I29)/I15</f>
        <v/>
      </c>
      <c r="J30" s="31">
        <f>(J28*J29)/J15</f>
        <v/>
      </c>
      <c r="K30" s="31">
        <f>(K28*K29)/K15</f>
        <v/>
      </c>
      <c r="L30" s="31">
        <f>(L28*L29)/L15</f>
        <v/>
      </c>
    </row>
  </sheetData>
  <mergeCells count="3">
    <mergeCell ref="H3:L3"/>
    <mergeCell ref="A1:L1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4" sqref="A4"/>
    </sheetView>
  </sheetViews>
  <sheetFormatPr baseColWidth="8" defaultRowHeight="14.5"/>
  <cols>
    <col width="28" customWidth="1" style="36" min="1" max="1"/>
    <col width="13" customWidth="1" style="36" min="2" max="6"/>
    <col width="2" customWidth="1" style="36" min="7" max="7"/>
    <col width="13" customWidth="1" style="36" min="8" max="12"/>
  </cols>
  <sheetData>
    <row r="1" ht="15.5" customHeight="1" s="36">
      <c r="A1" s="38" t="inlineStr">
        <is>
          <t>DuPont Analysis - HCL Technologies vs Wipro</t>
        </is>
      </c>
    </row>
    <row r="3">
      <c r="B3" s="39" t="inlineStr">
        <is>
          <t>HCL Technologies</t>
        </is>
      </c>
      <c r="H3" s="39" t="inlineStr">
        <is>
          <t>Wipro</t>
        </is>
      </c>
    </row>
    <row r="4">
      <c r="A4" s="3" t="inlineStr">
        <is>
          <t>Component</t>
        </is>
      </c>
      <c r="B4" s="3" t="inlineStr">
        <is>
          <t>FY2025</t>
        </is>
      </c>
      <c r="C4" s="3" t="inlineStr">
        <is>
          <t>FY2024</t>
        </is>
      </c>
      <c r="D4" s="3" t="inlineStr">
        <is>
          <t>FY2023</t>
        </is>
      </c>
      <c r="E4" s="3" t="inlineStr">
        <is>
          <t>FY2022</t>
        </is>
      </c>
      <c r="F4" s="3" t="inlineStr">
        <is>
          <t>FY2021</t>
        </is>
      </c>
      <c r="G4" s="3" t="n"/>
      <c r="H4" s="3" t="inlineStr">
        <is>
          <t>FY2025</t>
        </is>
      </c>
      <c r="I4" s="3" t="inlineStr">
        <is>
          <t>FY2024</t>
        </is>
      </c>
      <c r="J4" s="3" t="inlineStr">
        <is>
          <t>FY2023</t>
        </is>
      </c>
      <c r="K4" s="3" t="inlineStr">
        <is>
          <t>FY2022</t>
        </is>
      </c>
      <c r="L4" s="3" t="inlineStr">
        <is>
          <t>FY2021</t>
        </is>
      </c>
    </row>
    <row r="5">
      <c r="A5" s="16" t="inlineStr">
        <is>
          <t>Net Profit Margin</t>
        </is>
      </c>
      <c r="B5" s="17">
        <f>HCL_Data!B86/HCL_Data!B63</f>
        <v/>
      </c>
      <c r="C5" s="17">
        <f>HCL_Data!C86/HCL_Data!C63</f>
        <v/>
      </c>
      <c r="D5" s="17">
        <f>HCL_Data!D86/HCL_Data!D63</f>
        <v/>
      </c>
      <c r="E5" s="17">
        <f>HCL_Data!E86/HCL_Data!E63</f>
        <v/>
      </c>
      <c r="F5" s="17">
        <f>HCL_Data!F86/HCL_Data!F63</f>
        <v/>
      </c>
      <c r="G5" s="17" t="n"/>
      <c r="H5" s="17">
        <f>Wipro_Data!B86/Wipro_Data!B63</f>
        <v/>
      </c>
      <c r="I5" s="17">
        <f>Wipro_Data!C86/Wipro_Data!C63</f>
        <v/>
      </c>
      <c r="J5" s="17">
        <f>Wipro_Data!D86/Wipro_Data!D63</f>
        <v/>
      </c>
      <c r="K5" s="17">
        <f>Wipro_Data!E86/Wipro_Data!E63</f>
        <v/>
      </c>
      <c r="L5" s="17">
        <f>Wipro_Data!F86/Wipro_Data!F63</f>
        <v/>
      </c>
    </row>
    <row r="6">
      <c r="A6" s="16" t="inlineStr">
        <is>
          <t>Asset Turnover</t>
        </is>
      </c>
      <c r="B6" s="17">
        <f>HCL_Data!B63/HCL_Data!B45</f>
        <v/>
      </c>
      <c r="C6" s="17">
        <f>HCL_Data!C63/HCL_Data!C45</f>
        <v/>
      </c>
      <c r="D6" s="17">
        <f>HCL_Data!D63/HCL_Data!D45</f>
        <v/>
      </c>
      <c r="E6" s="17">
        <f>HCL_Data!E63/HCL_Data!E45</f>
        <v/>
      </c>
      <c r="F6" s="17">
        <f>HCL_Data!F63/HCL_Data!F45</f>
        <v/>
      </c>
      <c r="G6" s="17" t="n"/>
      <c r="H6" s="17">
        <f>Wipro_Data!B63/Wipro_Data!B45</f>
        <v/>
      </c>
      <c r="I6" s="17">
        <f>Wipro_Data!C63/Wipro_Data!C45</f>
        <v/>
      </c>
      <c r="J6" s="17">
        <f>Wipro_Data!D63/Wipro_Data!D45</f>
        <v/>
      </c>
      <c r="K6" s="17">
        <f>Wipro_Data!E63/Wipro_Data!E45</f>
        <v/>
      </c>
      <c r="L6" s="17">
        <f>Wipro_Data!F63/Wipro_Data!F45</f>
        <v/>
      </c>
    </row>
    <row r="7">
      <c r="A7" s="16" t="inlineStr">
        <is>
          <t>Equity Multiplier</t>
        </is>
      </c>
      <c r="B7" s="17">
        <f>HCL_Data!B45/HCL_Data!B11</f>
        <v/>
      </c>
      <c r="C7" s="17">
        <f>HCL_Data!C45/HCL_Data!C11</f>
        <v/>
      </c>
      <c r="D7" s="17">
        <f>HCL_Data!D45/HCL_Data!D11</f>
        <v/>
      </c>
      <c r="E7" s="17">
        <f>HCL_Data!E45/HCL_Data!E11</f>
        <v/>
      </c>
      <c r="F7" s="17">
        <f>HCL_Data!F45/HCL_Data!F11</f>
        <v/>
      </c>
      <c r="G7" s="17" t="n"/>
      <c r="H7" s="17">
        <f>Wipro_Data!B45/Wipro_Data!B11</f>
        <v/>
      </c>
      <c r="I7" s="17">
        <f>Wipro_Data!C45/Wipro_Data!C11</f>
        <v/>
      </c>
      <c r="J7" s="17">
        <f>Wipro_Data!D45/Wipro_Data!D11</f>
        <v/>
      </c>
      <c r="K7" s="17">
        <f>Wipro_Data!E45/Wipro_Data!E11</f>
        <v/>
      </c>
      <c r="L7" s="17">
        <f>Wipro_Data!F45/Wipro_Data!F11</f>
        <v/>
      </c>
    </row>
    <row r="9">
      <c r="A9" s="16" t="inlineStr">
        <is>
          <t>ROE via DuPont (%)</t>
        </is>
      </c>
      <c r="B9" s="18">
        <f>B5*B6*B7*100</f>
        <v/>
      </c>
      <c r="C9" s="18">
        <f>C5*C6*C7*100</f>
        <v/>
      </c>
      <c r="D9" s="18">
        <f>D5*D6*D7*100</f>
        <v/>
      </c>
      <c r="E9" s="18">
        <f>E5*E6*E7*100</f>
        <v/>
      </c>
      <c r="F9" s="18">
        <f>F5*F6*F7*100</f>
        <v/>
      </c>
      <c r="G9" s="18" t="n"/>
      <c r="H9" s="18">
        <f>H5*H6*H7*100</f>
        <v/>
      </c>
      <c r="I9" s="18">
        <f>I5*I6*I7*100</f>
        <v/>
      </c>
      <c r="J9" s="18">
        <f>J5*J6*J7*100</f>
        <v/>
      </c>
      <c r="K9" s="18">
        <f>K5*K6*K7*100</f>
        <v/>
      </c>
      <c r="L9" s="18">
        <f>L5*L6*L7*100</f>
        <v/>
      </c>
    </row>
  </sheetData>
  <mergeCells count="3">
    <mergeCell ref="H3:L3"/>
    <mergeCell ref="A1:L1"/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F7" sqref="F7"/>
    </sheetView>
  </sheetViews>
  <sheetFormatPr baseColWidth="8" defaultRowHeight="14.5"/>
  <cols>
    <col width="38" customWidth="1" style="36" min="1" max="1"/>
    <col width="13" customWidth="1" style="36" min="2" max="6"/>
    <col width="2" customWidth="1" style="36" min="7" max="7"/>
    <col width="13" customWidth="1" style="36" min="8" max="12"/>
  </cols>
  <sheetData>
    <row r="1" ht="15.5" customHeight="1" s="36">
      <c r="A1" s="38" t="inlineStr">
        <is>
          <t>Cash Conversion Cycle - HCL Technologies vs Wipro</t>
        </is>
      </c>
    </row>
    <row r="3">
      <c r="B3" s="39" t="inlineStr">
        <is>
          <t>HCL Technologies</t>
        </is>
      </c>
      <c r="H3" s="39" t="inlineStr">
        <is>
          <t>Wipro</t>
        </is>
      </c>
    </row>
    <row r="4">
      <c r="A4" s="3" t="inlineStr">
        <is>
          <t>Component (days)</t>
        </is>
      </c>
      <c r="B4" s="3" t="inlineStr">
        <is>
          <t>FY2025</t>
        </is>
      </c>
      <c r="C4" s="3" t="inlineStr">
        <is>
          <t>FY2024</t>
        </is>
      </c>
      <c r="D4" s="3" t="inlineStr">
        <is>
          <t>FY2023</t>
        </is>
      </c>
      <c r="E4" s="3" t="inlineStr">
        <is>
          <t>FY2022</t>
        </is>
      </c>
      <c r="F4" s="3" t="inlineStr">
        <is>
          <t>FY2021</t>
        </is>
      </c>
      <c r="G4" s="3" t="n"/>
      <c r="H4" s="3" t="inlineStr">
        <is>
          <t>FY2025</t>
        </is>
      </c>
      <c r="I4" s="3" t="inlineStr">
        <is>
          <t>FY2024</t>
        </is>
      </c>
      <c r="J4" s="3" t="inlineStr">
        <is>
          <t>FY2023</t>
        </is>
      </c>
      <c r="K4" s="3" t="inlineStr">
        <is>
          <t>FY2022</t>
        </is>
      </c>
      <c r="L4" s="3" t="inlineStr">
        <is>
          <t>FY2021</t>
        </is>
      </c>
    </row>
    <row r="5">
      <c r="A5" s="16" t="inlineStr">
        <is>
          <t>Days Inventory Outstanding (DIO)</t>
        </is>
      </c>
      <c r="B5" s="19">
        <f>(365*(HCL_Data!B39+HCL_Data!C39)/2)/(HCL_Data!B69+HCL_Data!B70+HCL_Data!B71)</f>
        <v/>
      </c>
      <c r="C5" s="19">
        <f>(365*(HCL_Data!C39+HCL_Data!D39)/2)/(HCL_Data!C69+HCL_Data!C70+HCL_Data!C71)</f>
        <v/>
      </c>
      <c r="D5" s="19">
        <f>(365*(HCL_Data!D39+HCL_Data!E39)/2)/(HCL_Data!D69+HCL_Data!D70+HCL_Data!D71)</f>
        <v/>
      </c>
      <c r="E5" s="19">
        <f>(365*(HCL_Data!E39+HCL_Data!F39)/2)/(HCL_Data!E69+HCL_Data!E70+HCL_Data!E71)</f>
        <v/>
      </c>
      <c r="F5" s="19">
        <f>(365*(HCL_Data!F39+91)/2)/(HCL_Data!F69+HCL_Data!F70+HCL_Data!F71)</f>
        <v/>
      </c>
      <c r="G5" s="19" t="n"/>
      <c r="H5" s="19">
        <f>(365*(Wipro_Data!B39+Wipro_Data!C39)/2)/(Wipro_Data!B69+Wipro_Data!B70+Wipro_Data!B71)</f>
        <v/>
      </c>
      <c r="I5" s="19">
        <f>(365*(Wipro_Data!C39+Wipro_Data!D39)/2)/(Wipro_Data!C69+Wipro_Data!C70+Wipro_Data!C71)</f>
        <v/>
      </c>
      <c r="J5" s="19">
        <f>(365*(Wipro_Data!D39+Wipro_Data!E39)/2)/(Wipro_Data!D69+Wipro_Data!D70+Wipro_Data!D71)</f>
        <v/>
      </c>
      <c r="K5" s="19">
        <f>(365*(Wipro_Data!E39+Wipro_Data!F39)/2)/(Wipro_Data!E69+Wipro_Data!E70+Wipro_Data!E71)</f>
        <v/>
      </c>
      <c r="L5" s="19">
        <f>(365*(Wipro_Data!F39+Wipro_Data!G39)/2)/(Wipro_Data!F69+Wipro_Data!F70+Wipro_Data!F71)</f>
        <v/>
      </c>
    </row>
    <row r="6">
      <c r="A6" s="16" t="inlineStr">
        <is>
          <t>Days Sales Outstanding (DSO)</t>
        </is>
      </c>
      <c r="B6" s="19">
        <f>(365*((HCL_Data!B40+HCL_Data!C40)/2))/HCL_Data!B63</f>
        <v/>
      </c>
      <c r="C6" s="19">
        <f>(365*((HCL_Data!C40+HCL_Data!D40)/2))/HCL_Data!C63</f>
        <v/>
      </c>
      <c r="D6" s="19">
        <f>(365*((HCL_Data!D40+HCL_Data!E40)/2))/HCL_Data!D63</f>
        <v/>
      </c>
      <c r="E6" s="19">
        <f>(365*((HCL_Data!E40+HCL_Data!F40)/2))/HCL_Data!E63</f>
        <v/>
      </c>
      <c r="F6" s="19">
        <f>(365*((HCL_Data!F40+HCL_Data!G40)/2))/HCL_Data!F63</f>
        <v/>
      </c>
      <c r="G6" s="19" t="n"/>
      <c r="H6" s="19">
        <f>(365*((Wipro_Data!B40+Wipro_Data!C40)/2))/Wipro_Data!B63</f>
        <v/>
      </c>
      <c r="I6" s="19">
        <f>(365*((Wipro_Data!C40+Wipro_Data!D40)/2))/Wipro_Data!C63</f>
        <v/>
      </c>
      <c r="J6" s="19">
        <f>(365*((Wipro_Data!D40+Wipro_Data!E40)/2))/Wipro_Data!D63</f>
        <v/>
      </c>
      <c r="K6" s="19">
        <f>(365*((Wipro_Data!E40+Wipro_Data!F40)/2))/Wipro_Data!E63</f>
        <v/>
      </c>
      <c r="L6" s="19">
        <f>(365*((Wipro_Data!F40+Wipro_Data!G40)/2))/Wipro_Data!F63</f>
        <v/>
      </c>
    </row>
    <row r="7">
      <c r="A7" s="16" t="inlineStr">
        <is>
          <t>Days Payable Outstanding (DPO)</t>
        </is>
      </c>
      <c r="B7" s="19">
        <f>(365*((HCL_Data!B21+HCL_Data!C21)/2))/(HCL_Data!B69+HCL_Data!B70+HCL_Data!B75)</f>
        <v/>
      </c>
      <c r="C7" s="19">
        <f>(365*((HCL_Data!C21+HCL_Data!D21)/2))/(HCL_Data!C69+HCL_Data!C70+HCL_Data!C75)</f>
        <v/>
      </c>
      <c r="D7" s="19">
        <f>(365*((HCL_Data!D21+HCL_Data!E21)/2))/(HCL_Data!D69+HCL_Data!D70+HCL_Data!D75)</f>
        <v/>
      </c>
      <c r="E7" s="19">
        <f>(365*((HCL_Data!E21+HCL_Data!F21)/2))/(HCL_Data!E69+HCL_Data!E70+HCL_Data!E75)</f>
        <v/>
      </c>
      <c r="F7" s="19">
        <f>(365*((HCL_Data!F21+HCL_Data!G21)/2))/(HCL_Data!F69+HCL_Data!F70+HCL_Data!F75)</f>
        <v/>
      </c>
      <c r="G7" s="19" t="n"/>
      <c r="H7" s="19">
        <f>(365*((Wipro_Data!B21+Wipro_Data!C21)/2))/(Wipro_Data!B69+Wipro_Data!B70+Wipro_Data!B75)</f>
        <v/>
      </c>
      <c r="I7" s="19">
        <f>(365*((Wipro_Data!C21+Wipro_Data!D21)/2))/(Wipro_Data!C69+Wipro_Data!C70+Wipro_Data!C75)</f>
        <v/>
      </c>
      <c r="J7" s="19">
        <f>(365*((Wipro_Data!D21+Wipro_Data!E21)/2))/(Wipro_Data!D69+Wipro_Data!D70+Wipro_Data!D75)</f>
        <v/>
      </c>
      <c r="K7" s="19">
        <f>(365*((Wipro_Data!E21+Wipro_Data!F21)/2))/(Wipro_Data!E69+Wipro_Data!E70+Wipro_Data!E75)</f>
        <v/>
      </c>
      <c r="L7" s="19">
        <f>(365*((Wipro_Data!F21+Wipro_Data!G21)/2))/(Wipro_Data!F69+Wipro_Data!F70+Wipro_Data!F75)</f>
        <v/>
      </c>
    </row>
    <row r="9">
      <c r="A9" s="16" t="inlineStr">
        <is>
          <t>Cash Conversion Cycle (CCC)</t>
        </is>
      </c>
      <c r="B9" s="19">
        <f>B5+B6-B7</f>
        <v/>
      </c>
      <c r="C9" s="19">
        <f>C5+C6-C7</f>
        <v/>
      </c>
      <c r="D9" s="19">
        <f>D5+D6-D7</f>
        <v/>
      </c>
      <c r="E9" s="19">
        <f>E5+E6-E7</f>
        <v/>
      </c>
      <c r="F9" s="19">
        <f>F5+F6-F7</f>
        <v/>
      </c>
      <c r="G9" s="19" t="n"/>
      <c r="H9" s="19">
        <f>H5+H6-H7</f>
        <v/>
      </c>
      <c r="I9" s="19">
        <f>I5+I6-I7</f>
        <v/>
      </c>
      <c r="J9" s="19">
        <f>J5+J6-J7</f>
        <v/>
      </c>
      <c r="K9" s="19">
        <f>K5+K6-K7</f>
        <v/>
      </c>
      <c r="L9" s="19">
        <f>L5+L6-L7</f>
        <v/>
      </c>
    </row>
  </sheetData>
  <mergeCells count="3">
    <mergeCell ref="H3:L3"/>
    <mergeCell ref="A1:L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venkat.suresh</dc:creator>
  <dcterms:created xmlns:dcterms="http://purl.org/dc/terms/" xmlns:xsi="http://www.w3.org/2001/XMLSchema-instance" xsi:type="dcterms:W3CDTF">2026-04-21T08:12:14Z</dcterms:created>
  <dcterms:modified xmlns:dcterms="http://purl.org/dc/terms/" xmlns:xsi="http://www.w3.org/2001/XMLSchema-instance" xsi:type="dcterms:W3CDTF">2026-04-22T15:18:29Z</dcterms:modified>
  <cp:lastModifiedBy>venkat.suresh</cp:lastModifiedBy>
</cp:coreProperties>
</file>